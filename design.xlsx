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3517\Documents\sim-economy\"/>
    </mc:Choice>
  </mc:AlternateContent>
  <xr:revisionPtr revIDLastSave="0" documentId="13_ncr:1_{2AA43B0D-B43F-4043-963B-3B1E0A54727F}" xr6:coauthVersionLast="47" xr6:coauthVersionMax="47" xr10:uidLastSave="{00000000-0000-0000-0000-000000000000}"/>
  <bookViews>
    <workbookView xWindow="-98" yWindow="-98" windowWidth="19396" windowHeight="10996" tabRatio="758" firstSheet="3" activeTab="7" xr2:uid="{00000000-000D-0000-FFFF-FFFF00000000}"/>
  </bookViews>
  <sheets>
    <sheet name="全局" sheetId="2" r:id="rId1"/>
    <sheet name="resource_base" sheetId="6" r:id="rId2"/>
    <sheet name="industry_base" sheetId="9" r:id="rId3"/>
    <sheet name="recipe_requirement_base" sheetId="7" r:id="rId4"/>
    <sheet name="recipe_base" sheetId="8" r:id="rId5"/>
    <sheet name="building_base" sheetId="4" r:id="rId6"/>
    <sheet name="bd_level_base" sheetId="10" r:id="rId7"/>
    <sheet name="game_config_base" sheetId="11" r:id="rId8"/>
    <sheet name="资源" sheetId="1" r:id="rId9"/>
    <sheet name="初始用户" sheetId="5" r:id="rId10"/>
    <sheet name="配方" sheetId="3" r:id="rId11"/>
  </sheets>
  <definedNames>
    <definedName name="生产速率公式_缩放因子">全局!$B$11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3" l="1" a="1"/>
  <c r="L5" i="3" s="1"/>
  <c r="M5" i="3" s="1"/>
  <c r="L2" i="3" a="1"/>
  <c r="L2" i="3" s="1"/>
  <c r="M2" i="3" s="1"/>
  <c r="L3" i="3" a="1"/>
  <c r="L3" i="3" s="1"/>
  <c r="M3" i="3" s="1"/>
  <c r="L4" i="3" a="1"/>
  <c r="L4" i="3" s="1"/>
  <c r="L6" i="3" a="1"/>
  <c r="L6" i="3" s="1"/>
  <c r="M6" i="3" s="1"/>
  <c r="L8" i="3" a="1"/>
  <c r="L8" i="3" s="1"/>
  <c r="M8" i="3" s="1"/>
  <c r="L9" i="3" a="1"/>
  <c r="L9" i="3" s="1"/>
  <c r="M9" i="3" s="1"/>
  <c r="L10" i="3" a="1"/>
  <c r="L10" i="3" s="1"/>
  <c r="M10" i="3" s="1"/>
  <c r="L12" i="3" a="1"/>
  <c r="L12" i="3" s="1"/>
  <c r="M12" i="3" s="1"/>
  <c r="L13" i="3" a="1"/>
  <c r="L13" i="3" s="1"/>
  <c r="M13" i="3" s="1"/>
  <c r="L16" i="3" a="1"/>
  <c r="L16" i="3" s="1"/>
  <c r="M16" i="3" s="1"/>
  <c r="L17" i="3" a="1"/>
  <c r="L17" i="3" s="1"/>
  <c r="M17" i="3" s="1"/>
  <c r="L18" i="3" a="1"/>
  <c r="L18" i="3" s="1"/>
  <c r="M18" i="3" s="1"/>
  <c r="L11" i="3" a="1"/>
  <c r="L11" i="3" s="1"/>
  <c r="M11" i="3" s="1"/>
  <c r="L15" i="3" a="1"/>
  <c r="L15" i="3" s="1"/>
  <c r="M15" i="3" s="1"/>
  <c r="L14" i="3" a="1"/>
  <c r="L14" i="3" s="1"/>
  <c r="M14" i="3" s="1"/>
  <c r="L7" i="3" a="1"/>
  <c r="L7" i="3" s="1"/>
  <c r="M7" i="3" s="1"/>
  <c r="L19" i="3" a="1"/>
  <c r="L19" i="3" s="1"/>
  <c r="M19" i="3" s="1"/>
  <c r="N19" i="3"/>
  <c r="N5" i="3"/>
  <c r="N7" i="3"/>
  <c r="N14" i="3"/>
  <c r="N11" i="3"/>
  <c r="N15" i="3"/>
  <c r="N2" i="3"/>
  <c r="N3" i="3"/>
  <c r="N4" i="3"/>
  <c r="N6" i="3"/>
  <c r="N8" i="3"/>
  <c r="N9" i="3"/>
  <c r="N10" i="3"/>
  <c r="N12" i="3"/>
  <c r="N13" i="3"/>
  <c r="N16" i="3"/>
  <c r="N17" i="3"/>
  <c r="N18" i="3"/>
  <c r="F8" i="1"/>
  <c r="F9" i="1"/>
  <c r="F10" i="1"/>
  <c r="F11" i="1"/>
  <c r="F3" i="1"/>
  <c r="F4" i="1"/>
  <c r="F5" i="1"/>
  <c r="F6" i="1"/>
  <c r="F7" i="1"/>
  <c r="B12" i="1"/>
  <c r="C9" i="1" l="1"/>
  <c r="H9" i="1" s="1"/>
  <c r="C8" i="1"/>
  <c r="H8" i="1" s="1"/>
  <c r="C11" i="1"/>
  <c r="H11" i="1" s="1"/>
  <c r="C10" i="1"/>
  <c r="H10" i="1" s="1"/>
  <c r="M4" i="3"/>
  <c r="C3" i="1"/>
  <c r="H3" i="1"/>
  <c r="C7" i="1"/>
  <c r="H7" i="1" s="1"/>
  <c r="C6" i="1"/>
  <c r="H6" i="1" s="1"/>
  <c r="C5" i="1"/>
  <c r="H5" i="1" s="1"/>
  <c r="C4" i="1"/>
  <c r="H4" i="1" s="1"/>
  <c r="C12" i="1" l="1"/>
  <c r="H12" i="1"/>
  <c r="I9" i="1" l="1"/>
  <c r="I8" i="1"/>
  <c r="I11" i="1"/>
  <c r="I10" i="1"/>
  <c r="I3" i="1"/>
  <c r="I4" i="1"/>
  <c r="I5" i="1"/>
  <c r="I6" i="1"/>
  <c r="I7" i="1"/>
  <c r="I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tc={024D38B0-695E-4CF0-A98D-32E1B07B3193}</author>
    <author>tc={F5CC294B-579B-40F0-A80E-57D1468E57C1}</author>
    <author>tc={400059C1-357F-4244-9222-9B325A768C18}</author>
    <author>tc={02291F8B-B2AF-4CA5-AFBD-D6ED05F3994A}</author>
    <author>tc={066FCAEF-96D7-45E5-83C6-5AB6581F8037}</author>
  </authors>
  <commentList>
    <comment ref="B2" authorId="0" shapeId="0" xr:uid="{024D38B0-695E-4CF0-A98D-32E1B07B3193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1. 100个石头和100个房子权重是不同的。100个水在干旱和湿润的环境下也是不同的。
2. 在反应经济指标时候，需要使用权重
3. 实际权重通过修正基础权重得到
</t>
      </text>
    </comment>
    <comment ref="D2" authorId="1" shapeId="0" xr:uid="{F5CC294B-579B-40F0-A80E-57D1468E57C1}">
      <text>
        <t>[线程批注]
你的Excel版本可读取此线程批注; 但如果在更新版本的Excel中打开文件，则对批注所作的任何改动都将被删除。了解详细信息: https://go.microsoft.com/fwlink/?linkid=870924
注释:
    不变的</t>
      </text>
    </comment>
    <comment ref="F2" authorId="2" shapeId="0" xr:uid="{400059C1-357F-4244-9222-9B325A768C18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放大/缩小基础权重
稀缺度&lt;1 ：放大
</t>
      </text>
    </comment>
    <comment ref="G2" authorId="3" shapeId="0" xr:uid="{02291F8B-B2AF-4CA5-AFBD-D6ED05F3994A}">
      <text>
        <t>[线程批注]
你的Excel版本可读取此线程批注; 但如果在更新版本的Excel中打开文件，则对批注所作的任何改动都将被删除。了解详细信息: https://go.microsoft.com/fwlink/?linkid=870924
注释:
    对资源稀缺的恐慌或者敏感程度。 假设某种资源的稀缺度 \(R\) 下降了 50%低敏感度 (\(k=0.1\)) —— “淡定”只会上涨50%</t>
      </text>
    </comment>
    <comment ref="H2" authorId="4" shapeId="0" xr:uid="{066FCAEF-96D7-45E5-83C6-5AB6581F8037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通过稀缺度修正 基础权重可得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tc={E61A03DF-659F-4902-AFCD-821C384BDB13}</author>
    <author>tc={07CF8314-4ED7-4FC8-B49B-E7E487170BDE}</author>
  </authors>
  <commentList>
    <comment ref="M1" authorId="0" shapeId="0" xr:uid="{E61A03DF-659F-4902-AFCD-821C384BDB13}">
      <text>
        <t>[线程批注]
你的Excel版本可读取此线程批注; 但如果在更新版本的Excel中打开文件，则对批注所作的任何改动都将被删除。了解详细信息: https://go.microsoft.com/fwlink/?linkid=870924
注释:
    根据原料成本与基础价格的毛利率</t>
      </text>
    </comment>
    <comment ref="N1" authorId="1" shapeId="0" xr:uid="{07CF8314-4ED7-4FC8-B49B-E7E487170BDE}">
      <text>
        <t>[线程批注]
你的Excel版本可读取此线程批注; 但如果在更新版本的Excel中打开文件，则对批注所作的任何改动都将被删除。了解详细信息: https://go.microsoft.com/fwlink/?linkid=870924
注释:
    生产速率与基础价格成反比，乘积表示期望一小时生产价值
答复:
    由于基础价格往往是指数上升，因此不能直接倒数，应该是log类型。 基础价格是根据利润和配方推导的，因此最终我们必须设置合理的配方，以达到基础价格呈现指数形式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<sst xmlns="http://schemas.openxmlformats.org/spreadsheetml/2006/main" count="215" uniqueCount="161">
  <si>
    <t>参数名称</t>
  </si>
  <si>
    <t>默认值</t>
  </si>
  <si>
    <t>单位</t>
  </si>
  <si>
    <t>描述</t>
  </si>
  <si>
    <t>毛利率控制： 30%到60%</t>
    <phoneticPr fontId="7" type="noConversion"/>
  </si>
  <si>
    <t>基础资源成本</t>
  </si>
  <si>
    <t>¥/单位</t>
  </si>
  <si>
    <t>电是最基本的资源。</t>
  </si>
  <si>
    <t>基础建筑使用成本</t>
  </si>
  <si>
    <t>¥/min</t>
  </si>
  <si>
    <t>建筑生产资源时需要使用成本作为建筑维护费用。</t>
  </si>
  <si>
    <t>基础利润率</t>
  </si>
  <si>
    <t>百分比</t>
  </si>
  <si>
    <t>基本售价和成本的比值。参考利润率。
以任何方式交易，我们都不建议地狱这个值</t>
  </si>
  <si>
    <t>景气指数</t>
  </si>
  <si>
    <t>交易量： 数量</t>
    <phoneticPr fontId="7" type="noConversion"/>
  </si>
  <si>
    <t>交易额：金币</t>
    <phoneticPr fontId="7" type="noConversion"/>
  </si>
  <si>
    <t>市场指标</t>
  </si>
  <si>
    <t>通货膨胀率</t>
  </si>
  <si>
    <t>cpi物价指数</t>
    <phoneticPr fontId="7" type="noConversion"/>
  </si>
  <si>
    <t>加权市场价格</t>
    <phoneticPr fontId="7" type="noConversion"/>
  </si>
  <si>
    <t>涨跌停设置</t>
  </si>
  <si>
    <t>基尼指数：所有人两两资产差距的和，平均。 
0 绝对平均。
0.2-0.4 竞争正常</t>
    <phoneticPr fontId="7" type="noConversion"/>
  </si>
  <si>
    <t>供大于求：价格持续走低，</t>
  </si>
  <si>
    <t>资源属性</t>
    <phoneticPr fontId="7" type="noConversion"/>
  </si>
  <si>
    <t>资源</t>
  </si>
  <si>
    <t>基础权重</t>
    <phoneticPr fontId="7" type="noConversion"/>
  </si>
  <si>
    <t>基础权重
归一化</t>
    <phoneticPr fontId="7" type="noConversion"/>
  </si>
  <si>
    <t>理想储备量</t>
  </si>
  <si>
    <t>全服总量（示例）</t>
  </si>
  <si>
    <t>此时稀缺度</t>
    <phoneticPr fontId="7" type="noConversion"/>
  </si>
  <si>
    <t>敏感度</t>
    <phoneticPr fontId="7" type="noConversion"/>
  </si>
  <si>
    <t>实际权重</t>
  </si>
  <si>
    <r>
      <rPr>
        <b/>
        <sz val="10"/>
        <color rgb="FFFF0000"/>
        <rFont val="宋体"/>
        <family val="3"/>
        <charset val="134"/>
      </rPr>
      <t xml:space="preserve">实际权重
</t>
    </r>
    <r>
      <rPr>
        <b/>
        <sz val="10"/>
        <color rgb="FFFF0000"/>
        <rFont val="Roboto"/>
      </rPr>
      <t xml:space="preserve"> </t>
    </r>
    <r>
      <rPr>
        <b/>
        <sz val="10"/>
        <color rgb="FFFF0000"/>
        <rFont val="宋体"/>
        <family val="3"/>
        <charset val="134"/>
      </rPr>
      <t>归一化</t>
    </r>
    <phoneticPr fontId="7" type="noConversion"/>
  </si>
  <si>
    <t>电</t>
  </si>
  <si>
    <t>水</t>
  </si>
  <si>
    <t>房子</t>
  </si>
  <si>
    <t>小麦</t>
    <phoneticPr fontId="7" type="noConversion"/>
  </si>
  <si>
    <t>土</t>
  </si>
  <si>
    <t>面包</t>
  </si>
  <si>
    <t>馒头</t>
  </si>
  <si>
    <t>苹果</t>
  </si>
  <si>
    <t>面粉</t>
  </si>
  <si>
    <t>汇总</t>
  </si>
  <si>
    <t>产出</t>
    <phoneticPr fontId="7" type="noConversion"/>
  </si>
  <si>
    <t>基础价格</t>
    <phoneticPr fontId="7" type="noConversion"/>
  </si>
  <si>
    <t>原料1</t>
    <phoneticPr fontId="7" type="noConversion"/>
  </si>
  <si>
    <t>数量1</t>
    <phoneticPr fontId="7" type="noConversion"/>
  </si>
  <si>
    <t>原料2</t>
    <phoneticPr fontId="7" type="noConversion"/>
  </si>
  <si>
    <t>数量2</t>
    <phoneticPr fontId="7" type="noConversion"/>
  </si>
  <si>
    <t>原料3</t>
    <phoneticPr fontId="7" type="noConversion"/>
  </si>
  <si>
    <t>数量3</t>
    <phoneticPr fontId="7" type="noConversion"/>
  </si>
  <si>
    <t>原料4</t>
    <phoneticPr fontId="7" type="noConversion"/>
  </si>
  <si>
    <t>数量4</t>
    <phoneticPr fontId="7" type="noConversion"/>
  </si>
  <si>
    <t>原料成本</t>
    <phoneticPr fontId="7" type="noConversion"/>
  </si>
  <si>
    <t>基础毛利率</t>
    <phoneticPr fontId="7" type="noConversion"/>
  </si>
  <si>
    <t>生产速率(per hour)</t>
  </si>
  <si>
    <t>小麦</t>
  </si>
  <si>
    <t>铁矿石</t>
  </si>
  <si>
    <t>钢铁</t>
  </si>
  <si>
    <t>别墅</t>
  </si>
  <si>
    <t>水</t>
    <phoneticPr fontId="7" type="noConversion"/>
  </si>
  <si>
    <t>稀释价格对生产速率影响，避免对数下降过快</t>
    <phoneticPr fontId="7" type="noConversion"/>
  </si>
  <si>
    <t>生产速率公式：缩放因子</t>
    <phoneticPr fontId="7" type="noConversion"/>
  </si>
  <si>
    <t>钢铁</t>
    <phoneticPr fontId="7" type="noConversion"/>
  </si>
  <si>
    <t>木材</t>
    <phoneticPr fontId="7" type="noConversion"/>
  </si>
  <si>
    <t>混凝土</t>
    <phoneticPr fontId="7" type="noConversion"/>
  </si>
  <si>
    <t>电</t>
    <phoneticPr fontId="7" type="noConversion"/>
  </si>
  <si>
    <t>小石头</t>
    <phoneticPr fontId="7" type="noConversion"/>
  </si>
  <si>
    <t>石灰石</t>
    <phoneticPr fontId="7" type="noConversion"/>
  </si>
  <si>
    <t>土</t>
    <phoneticPr fontId="7" type="noConversion"/>
  </si>
  <si>
    <t>水泥</t>
    <phoneticPr fontId="7" type="noConversion"/>
  </si>
  <si>
    <t>原油</t>
    <phoneticPr fontId="7" type="noConversion"/>
  </si>
  <si>
    <t>太阳能</t>
    <phoneticPr fontId="7" type="noConversion"/>
  </si>
  <si>
    <t>分级</t>
    <phoneticPr fontId="7" type="noConversion"/>
  </si>
  <si>
    <t>原始环境资源</t>
    <phoneticPr fontId="7" type="noConversion"/>
  </si>
  <si>
    <t>火星尘土</t>
    <phoneticPr fontId="7" type="noConversion"/>
  </si>
  <si>
    <t>冰矿</t>
    <phoneticPr fontId="7" type="noConversion"/>
  </si>
  <si>
    <t>碎岩</t>
    <phoneticPr fontId="7" type="noConversion"/>
  </si>
  <si>
    <t>稀薄空气</t>
    <phoneticPr fontId="7" type="noConversion"/>
  </si>
  <si>
    <t>淡水（冰矿提取） </t>
    <phoneticPr fontId="7" type="noConversion"/>
  </si>
  <si>
    <t>氧气（空气/水电解）</t>
    <phoneticPr fontId="7" type="noConversion"/>
  </si>
  <si>
    <t>能量（太阳能→电）</t>
  </si>
  <si>
    <t>火星土壤（尘土处理）</t>
  </si>
  <si>
    <t>石料（碎岩加工）</t>
  </si>
  <si>
    <t>基础资源</t>
    <phoneticPr fontId="7" type="noConversion"/>
  </si>
  <si>
    <t>砖块（火星土烧结）</t>
  </si>
  <si>
    <t>水泥（石料+能量）</t>
  </si>
  <si>
    <t>玻璃（石料）</t>
  </si>
  <si>
    <t>铁矿精炼</t>
  </si>
  <si>
    <t>塑料前驱物（CO₂+能量</t>
  </si>
  <si>
    <t>钢铁（铁矿精炼）</t>
  </si>
  <si>
    <t>复合材料（塑料+钢）</t>
  </si>
  <si>
    <t>管道（钢铁） </t>
    <phoneticPr fontId="7" type="noConversion"/>
  </si>
  <si>
    <t>电缆（能量+材料）</t>
  </si>
  <si>
    <t>储水模块（钢+塑料）</t>
  </si>
  <si>
    <t>中端工业资源</t>
    <phoneticPr fontId="7" type="noConversion"/>
  </si>
  <si>
    <t>预制墙体（混凝土）</t>
  </si>
  <si>
    <t>结构骨架（钢铁）</t>
  </si>
  <si>
    <t>生命维持模块（氧+水+能量）</t>
  </si>
  <si>
    <t>气密舱段（复合材料）</t>
  </si>
  <si>
    <t>中高端工程资源</t>
  </si>
  <si>
    <t>基础居住舱</t>
  </si>
  <si>
    <t>科研舱</t>
  </si>
  <si>
    <t>农业温室</t>
  </si>
  <si>
    <t>居住模块（公寓）</t>
  </si>
  <si>
    <t>建筑与定居资产（终端）</t>
    <phoneticPr fontId="7" type="noConversion"/>
  </si>
  <si>
    <t>id</t>
  </si>
  <si>
    <t>name</t>
  </si>
  <si>
    <t>email</t>
  </si>
  <si>
    <t>password</t>
  </si>
  <si>
    <t>is_bot</t>
  </si>
  <si>
    <t>description</t>
  </si>
  <si>
    <t>icon</t>
  </si>
  <si>
    <t>level</t>
  </si>
  <si>
    <t>experience</t>
  </si>
  <si>
    <t>cash</t>
  </si>
  <si>
    <t>rating</t>
  </si>
  <si>
    <t>created_at</t>
  </si>
  <si>
    <t>government</t>
  </si>
  <si>
    <t>1@q.com</t>
  </si>
  <si>
    <t>id</t>
    <phoneticPr fontId="7" type="noConversion"/>
  </si>
  <si>
    <t>name</t>
    <phoneticPr fontId="7" type="noConversion"/>
  </si>
  <si>
    <t>base_price</t>
    <phoneticPr fontId="7" type="noConversion"/>
  </si>
  <si>
    <t>industry_id</t>
    <phoneticPr fontId="7" type="noConversion"/>
  </si>
  <si>
    <t>base_weight</t>
    <phoneticPr fontId="7" type="noConversion"/>
  </si>
  <si>
    <t>sensitivity</t>
    <phoneticPr fontId="7" type="noConversion"/>
  </si>
  <si>
    <t>quantity</t>
    <phoneticPr fontId="7" type="noConversion"/>
  </si>
  <si>
    <t>per_hour</t>
    <phoneticPr fontId="7" type="noConversion"/>
  </si>
  <si>
    <t>building_meta_id</t>
    <phoneticPr fontId="7" type="noConversion"/>
  </si>
  <si>
    <t>building_cost</t>
    <phoneticPr fontId="7" type="noConversion"/>
  </si>
  <si>
    <t>maintenance_cost</t>
    <phoneticPr fontId="7" type="noConversion"/>
  </si>
  <si>
    <t>发电厂</t>
    <phoneticPr fontId="7" type="noConversion"/>
  </si>
  <si>
    <t>水厂</t>
    <phoneticPr fontId="7" type="noConversion"/>
  </si>
  <si>
    <t>农场</t>
    <phoneticPr fontId="7" type="noConversion"/>
  </si>
  <si>
    <t>power</t>
    <phoneticPr fontId="7" type="noConversion"/>
  </si>
  <si>
    <t>water</t>
    <phoneticPr fontId="7" type="noConversion"/>
  </si>
  <si>
    <t>电力</t>
    <phoneticPr fontId="7" type="noConversion"/>
  </si>
  <si>
    <t>power_</t>
    <phoneticPr fontId="7" type="noConversion"/>
  </si>
  <si>
    <t>water_</t>
    <phoneticPr fontId="7" type="noConversion"/>
  </si>
  <si>
    <t>agriculture_</t>
    <phoneticPr fontId="7" type="noConversion"/>
  </si>
  <si>
    <t>recipe_id</t>
    <phoneticPr fontId="7" type="noConversion"/>
  </si>
  <si>
    <t>resource_id</t>
    <phoneticPr fontId="7" type="noConversion"/>
  </si>
  <si>
    <t>power_plant_</t>
    <phoneticPr fontId="7" type="noConversion"/>
  </si>
  <si>
    <t>water_factory_</t>
    <phoneticPr fontId="7" type="noConversion"/>
  </si>
  <si>
    <t>farm_</t>
    <phoneticPr fontId="7" type="noConversion"/>
  </si>
  <si>
    <t>output_resource_id</t>
    <phoneticPr fontId="7" type="noConversion"/>
  </si>
  <si>
    <t>level</t>
    <phoneticPr fontId="7" type="noConversion"/>
  </si>
  <si>
    <t>cost</t>
    <phoneticPr fontId="7" type="noConversion"/>
  </si>
  <si>
    <t>duration</t>
    <phoneticPr fontId="7" type="noConversion"/>
  </si>
  <si>
    <t>production_rate</t>
    <phoneticPr fontId="7" type="noConversion"/>
  </si>
  <si>
    <t>power_plant_</t>
  </si>
  <si>
    <t>key</t>
    <phoneticPr fontId="7" type="noConversion"/>
  </si>
  <si>
    <t>value</t>
    <phoneticPr fontId="7" type="noConversion"/>
  </si>
  <si>
    <t>build_deconstruct_rate</t>
  </si>
  <si>
    <t>description</t>
    <phoneticPr fontId="7" type="noConversion"/>
  </si>
  <si>
    <t>建筑拆除折算</t>
    <phoneticPr fontId="7" type="noConversion"/>
  </si>
  <si>
    <t>group</t>
    <phoneticPr fontId="7" type="noConversion"/>
  </si>
  <si>
    <t>unkown</t>
    <phoneticPr fontId="7" type="noConversion"/>
  </si>
  <si>
    <t>market_tax_rate</t>
  </si>
  <si>
    <t>交易所税率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</si>
</sst>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);[Red]\(0\)"/>
    <numFmt numFmtId="178" formatCode="0_ "/>
    <numFmt numFmtId="179" formatCode="0.000_);[Red]\(0.000\)"/>
  </numFmts>
  <fonts count="23" x14ac:knownFonts="1">
    <font>
      <sz val="11"/>
      <color theme="1"/>
      <name val="等线"/>
      <family val="2"/>
      <scheme val="minor"/>
    </font>
    <font>
      <sz val="10"/>
      <color rgb="FFFFFFFF"/>
      <name val="Roboto"/>
      <charset val="1"/>
    </font>
    <font>
      <sz val="10"/>
      <color theme="1"/>
      <name val="Arial"/>
      <charset val="1"/>
    </font>
    <font>
      <sz val="10"/>
      <color rgb="FF434343"/>
      <name val="Roboto"/>
      <charset val="1"/>
    </font>
    <font>
      <b/>
      <sz val="10"/>
      <color rgb="FFFFFFFF"/>
      <name val="Roboto"/>
      <charset val="1"/>
    </font>
    <font>
      <b/>
      <sz val="10"/>
      <color rgb="FF434343"/>
      <name val="Roboto"/>
      <charset val="1"/>
    </font>
    <font>
      <b/>
      <sz val="10"/>
      <color theme="1"/>
      <name val="Arial"/>
      <charset val="1"/>
    </font>
    <font>
      <sz val="9"/>
      <name val="等线"/>
      <family val="3"/>
      <charset val="134"/>
      <scheme val="minor"/>
    </font>
    <font>
      <sz val="10"/>
      <color rgb="FF434343"/>
      <name val="Roboto"/>
    </font>
    <font>
      <sz val="10"/>
      <color rgb="FF434343"/>
      <name val="宋体"/>
      <family val="3"/>
      <charset val="134"/>
    </font>
    <font>
      <sz val="10"/>
      <color rgb="FFFFFFFF"/>
      <name val="宋体"/>
      <family val="3"/>
      <charset val="134"/>
    </font>
    <font>
      <sz val="10"/>
      <color rgb="FFFFFFFF"/>
      <name val="Roboto"/>
    </font>
    <font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0"/>
      <color rgb="FFFF0000"/>
      <name val="Roboto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rgb="FFFF0000"/>
      <name val="Roboto"/>
    </font>
    <font>
      <b/>
      <sz val="11"/>
      <color rgb="FFFF0000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434343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535FC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6F8F9"/>
      </bottom>
      <diagonal/>
    </border>
    <border>
      <left style="thin">
        <color rgb="FF000000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F6F8F9"/>
      </right>
      <top style="thin">
        <color rgb="FFCCCCCC"/>
      </top>
      <bottom style="thin">
        <color rgb="FF3E4791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3E4791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3E4791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/>
      <right style="thin">
        <color rgb="FFFFFFFF"/>
      </right>
      <top style="thin">
        <color rgb="FFCCCCCC"/>
      </top>
      <bottom style="thin">
        <color rgb="FFF6F8F9"/>
      </bottom>
      <diagonal/>
    </border>
    <border>
      <left/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/>
      <top style="thin">
        <color rgb="FFCCCCCC"/>
      </top>
      <bottom style="thin">
        <color rgb="FFF6F8F9"/>
      </bottom>
      <diagonal/>
    </border>
    <border>
      <left/>
      <right style="thin">
        <color rgb="FF356854"/>
      </right>
      <top/>
      <bottom style="thin">
        <color rgb="FF284E3F"/>
      </bottom>
      <diagonal/>
    </border>
    <border>
      <left style="thin">
        <color rgb="FFCCCCCC"/>
      </left>
      <right style="thin">
        <color rgb="FF356854"/>
      </right>
      <top/>
      <bottom style="thin">
        <color rgb="FF284E3F"/>
      </bottom>
      <diagonal/>
    </border>
    <border>
      <left style="thin">
        <color rgb="FFCCCCCC"/>
      </left>
      <right/>
      <top/>
      <bottom style="thin">
        <color rgb="FF284E3F"/>
      </bottom>
      <diagonal/>
    </border>
    <border>
      <left/>
      <right style="thin">
        <color rgb="FFF6F8F9"/>
      </right>
      <top style="thin">
        <color rgb="FFCCCCCC"/>
      </top>
      <bottom/>
      <diagonal/>
    </border>
    <border>
      <left style="thin">
        <color rgb="FFCCCCCC"/>
      </left>
      <right style="thin">
        <color rgb="FFF6F8F9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F6F8F9"/>
      </right>
      <top style="thin">
        <color rgb="FFCCCCCC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CCCCCC"/>
      </top>
      <bottom style="thin">
        <color theme="4" tint="0.39997558519241921"/>
      </bottom>
      <diagonal/>
    </border>
    <border>
      <left/>
      <right/>
      <top/>
      <bottom style="thin">
        <color rgb="FF284E3F"/>
      </bottom>
      <diagonal/>
    </border>
    <border>
      <left style="thin">
        <color rgb="FF000000"/>
      </left>
      <right style="thin">
        <color rgb="FF535FC1"/>
      </right>
      <top/>
      <bottom style="thin">
        <color rgb="FF3E4791"/>
      </bottom>
      <diagonal/>
    </border>
    <border>
      <left style="thin">
        <color rgb="FFCCCCCC"/>
      </left>
      <right style="thin">
        <color rgb="FF535FC1"/>
      </right>
      <top/>
      <bottom style="thin">
        <color rgb="FF3E4791"/>
      </bottom>
      <diagonal/>
    </border>
    <border>
      <left style="thin">
        <color rgb="FFCCCCCC"/>
      </left>
      <right style="thin">
        <color rgb="FF000000"/>
      </right>
      <top/>
      <bottom style="thin">
        <color rgb="FF3E479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>
      <alignment vertical="center"/>
    </xf>
  </cellStyleXfs>
  <cellXfs count="91">
    <xf numFmtId="0" fontId="0" fillId="0" borderId="0" xfId="0"/>
    <xf numFmtId="0" fontId="3" fillId="4" borderId="5" xfId="0" applyFont="1" applyFill="1" applyBorder="1" applyAlignment="1">
      <alignment readingOrder="1"/>
    </xf>
    <xf numFmtId="0" fontId="3" fillId="3" borderId="2" xfId="0" applyFont="1" applyFill="1" applyBorder="1" applyAlignment="1">
      <alignment readingOrder="1"/>
    </xf>
    <xf numFmtId="0" fontId="5" fillId="3" borderId="1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3" fillId="3" borderId="3" xfId="0" applyFont="1" applyFill="1" applyBorder="1" applyAlignment="1">
      <alignment wrapText="1" readingOrder="1"/>
    </xf>
    <xf numFmtId="0" fontId="5" fillId="4" borderId="7" xfId="0" applyFont="1" applyFill="1" applyBorder="1" applyAlignment="1">
      <alignment readingOrder="1"/>
    </xf>
    <xf numFmtId="0" fontId="3" fillId="4" borderId="8" xfId="0" applyFont="1" applyFill="1" applyBorder="1" applyAlignment="1">
      <alignment readingOrder="1"/>
    </xf>
    <xf numFmtId="0" fontId="2" fillId="4" borderId="8" xfId="0" applyFont="1" applyFill="1" applyBorder="1" applyAlignment="1">
      <alignment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6" fillId="0" borderId="10" xfId="0" applyFont="1" applyBorder="1" applyAlignment="1">
      <alignment readingOrder="1"/>
    </xf>
    <xf numFmtId="0" fontId="6" fillId="0" borderId="13" xfId="0" applyFont="1" applyBorder="1" applyAlignment="1">
      <alignment readingOrder="1"/>
    </xf>
    <xf numFmtId="0" fontId="2" fillId="0" borderId="14" xfId="0" applyFont="1" applyBorder="1" applyAlignment="1">
      <alignment readingOrder="1"/>
    </xf>
    <xf numFmtId="0" fontId="3" fillId="4" borderId="3" xfId="0" applyFont="1" applyFill="1" applyBorder="1" applyAlignment="1">
      <alignment wrapText="1" readingOrder="1"/>
    </xf>
    <xf numFmtId="0" fontId="2" fillId="4" borderId="9" xfId="0" applyFont="1" applyFill="1" applyBorder="1" applyAlignment="1">
      <alignment wrapText="1" readingOrder="1"/>
    </xf>
    <xf numFmtId="0" fontId="2" fillId="0" borderId="12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  <xf numFmtId="0" fontId="4" fillId="5" borderId="15" xfId="0" applyFont="1" applyFill="1" applyBorder="1" applyAlignment="1">
      <alignment readingOrder="1"/>
    </xf>
    <xf numFmtId="0" fontId="1" fillId="5" borderId="16" xfId="0" applyFont="1" applyFill="1" applyBorder="1" applyAlignment="1">
      <alignment readingOrder="1"/>
    </xf>
    <xf numFmtId="0" fontId="1" fillId="5" borderId="17" xfId="0" applyFont="1" applyFill="1" applyBorder="1" applyAlignment="1">
      <alignment wrapText="1" readingOrder="1"/>
    </xf>
    <xf numFmtId="0" fontId="3" fillId="3" borderId="18" xfId="0" applyFont="1" applyFill="1" applyBorder="1" applyAlignment="1">
      <alignment readingOrder="1"/>
    </xf>
    <xf numFmtId="0" fontId="3" fillId="4" borderId="19" xfId="0" applyFont="1" applyFill="1" applyBorder="1" applyAlignment="1">
      <alignment readingOrder="1"/>
    </xf>
    <xf numFmtId="0" fontId="1" fillId="2" borderId="21" xfId="0" applyFont="1" applyFill="1" applyBorder="1" applyAlignment="1">
      <alignment readingOrder="1"/>
    </xf>
    <xf numFmtId="0" fontId="1" fillId="2" borderId="22" xfId="0" applyFont="1" applyFill="1" applyBorder="1" applyAlignment="1">
      <alignment readingOrder="1"/>
    </xf>
    <xf numFmtId="0" fontId="1" fillId="2" borderId="23" xfId="0" applyFont="1" applyFill="1" applyBorder="1" applyAlignment="1">
      <alignment readingOrder="1"/>
    </xf>
    <xf numFmtId="0" fontId="3" fillId="4" borderId="24" xfId="0" applyFont="1" applyFill="1" applyBorder="1" applyAlignment="1">
      <alignment readingOrder="1"/>
    </xf>
    <xf numFmtId="0" fontId="0" fillId="0" borderId="27" xfId="0" applyBorder="1"/>
    <xf numFmtId="0" fontId="9" fillId="3" borderId="27" xfId="0" applyFont="1" applyFill="1" applyBorder="1" applyAlignment="1">
      <alignment readingOrder="1"/>
    </xf>
    <xf numFmtId="0" fontId="10" fillId="2" borderId="22" xfId="0" applyFont="1" applyFill="1" applyBorder="1" applyAlignment="1">
      <alignment wrapText="1" readingOrder="1"/>
    </xf>
    <xf numFmtId="0" fontId="11" fillId="2" borderId="30" xfId="0" applyFont="1" applyFill="1" applyBorder="1" applyAlignment="1">
      <alignment readingOrder="1"/>
    </xf>
    <xf numFmtId="0" fontId="10" fillId="2" borderId="30" xfId="0" applyFont="1" applyFill="1" applyBorder="1" applyAlignment="1">
      <alignment readingOrder="1"/>
    </xf>
    <xf numFmtId="176" fontId="0" fillId="0" borderId="0" xfId="0" applyNumberFormat="1"/>
    <xf numFmtId="176" fontId="0" fillId="0" borderId="27" xfId="0" applyNumberFormat="1" applyBorder="1"/>
    <xf numFmtId="176" fontId="10" fillId="2" borderId="22" xfId="0" applyNumberFormat="1" applyFont="1" applyFill="1" applyBorder="1" applyAlignment="1">
      <alignment wrapText="1" readingOrder="1"/>
    </xf>
    <xf numFmtId="176" fontId="3" fillId="3" borderId="2" xfId="0" applyNumberFormat="1" applyFont="1" applyFill="1" applyBorder="1" applyAlignment="1">
      <alignment readingOrder="1"/>
    </xf>
    <xf numFmtId="176" fontId="3" fillId="4" borderId="5" xfId="0" applyNumberFormat="1" applyFont="1" applyFill="1" applyBorder="1" applyAlignment="1">
      <alignment readingOrder="1"/>
    </xf>
    <xf numFmtId="176" fontId="2" fillId="3" borderId="2" xfId="0" applyNumberFormat="1" applyFont="1" applyFill="1" applyBorder="1" applyAlignment="1">
      <alignment readingOrder="1"/>
    </xf>
    <xf numFmtId="176" fontId="2" fillId="3" borderId="26" xfId="0" applyNumberFormat="1" applyFont="1" applyFill="1" applyBorder="1" applyAlignment="1">
      <alignment readingOrder="1"/>
    </xf>
    <xf numFmtId="176" fontId="2" fillId="4" borderId="25" xfId="0" applyNumberFormat="1" applyFont="1" applyFill="1" applyBorder="1" applyAlignment="1">
      <alignment readingOrder="1"/>
    </xf>
    <xf numFmtId="176" fontId="3" fillId="3" borderId="0" xfId="0" applyNumberFormat="1" applyFont="1" applyFill="1" applyAlignment="1">
      <alignment readingOrder="1"/>
    </xf>
    <xf numFmtId="176" fontId="3" fillId="4" borderId="0" xfId="0" applyNumberFormat="1" applyFont="1" applyFill="1" applyAlignment="1">
      <alignment readingOrder="1"/>
    </xf>
    <xf numFmtId="176" fontId="3" fillId="3" borderId="26" xfId="0" applyNumberFormat="1" applyFont="1" applyFill="1" applyBorder="1" applyAlignment="1">
      <alignment readingOrder="1"/>
    </xf>
    <xf numFmtId="176" fontId="3" fillId="4" borderId="25" xfId="0" applyNumberFormat="1" applyFont="1" applyFill="1" applyBorder="1" applyAlignment="1">
      <alignment readingOrder="1"/>
    </xf>
    <xf numFmtId="177" fontId="10" fillId="2" borderId="23" xfId="0" applyNumberFormat="1" applyFont="1" applyFill="1" applyBorder="1" applyAlignment="1">
      <alignment readingOrder="1"/>
    </xf>
    <xf numFmtId="177" fontId="3" fillId="3" borderId="20" xfId="0" applyNumberFormat="1" applyFont="1" applyFill="1" applyBorder="1" applyAlignment="1">
      <alignment readingOrder="1"/>
    </xf>
    <xf numFmtId="177" fontId="3" fillId="3" borderId="26" xfId="0" applyNumberFormat="1" applyFont="1" applyFill="1" applyBorder="1" applyAlignment="1">
      <alignment readingOrder="1"/>
    </xf>
    <xf numFmtId="177" fontId="0" fillId="0" borderId="27" xfId="0" applyNumberFormat="1" applyBorder="1"/>
    <xf numFmtId="177" fontId="0" fillId="0" borderId="0" xfId="0" applyNumberFormat="1"/>
    <xf numFmtId="178" fontId="3" fillId="3" borderId="20" xfId="0" applyNumberFormat="1" applyFont="1" applyFill="1" applyBorder="1" applyAlignment="1">
      <alignment readingOrder="1"/>
    </xf>
    <xf numFmtId="178" fontId="3" fillId="4" borderId="20" xfId="0" applyNumberFormat="1" applyFont="1" applyFill="1" applyBorder="1" applyAlignment="1">
      <alignment readingOrder="1"/>
    </xf>
    <xf numFmtId="178" fontId="3" fillId="3" borderId="26" xfId="0" applyNumberFormat="1" applyFont="1" applyFill="1" applyBorder="1" applyAlignment="1">
      <alignment readingOrder="1"/>
    </xf>
    <xf numFmtId="178" fontId="3" fillId="4" borderId="26" xfId="0" applyNumberFormat="1" applyFont="1" applyFill="1" applyBorder="1" applyAlignment="1">
      <alignment readingOrder="1"/>
    </xf>
    <xf numFmtId="176" fontId="12" fillId="0" borderId="0" xfId="0" applyNumberFormat="1" applyFont="1"/>
    <xf numFmtId="0" fontId="0" fillId="0" borderId="0" xfId="0" applyAlignment="1">
      <alignment wrapText="1"/>
    </xf>
    <xf numFmtId="176" fontId="14" fillId="2" borderId="30" xfId="0" applyNumberFormat="1" applyFont="1" applyFill="1" applyBorder="1" applyAlignment="1">
      <alignment wrapText="1" readingOrder="1"/>
    </xf>
    <xf numFmtId="176" fontId="17" fillId="0" borderId="0" xfId="0" applyNumberFormat="1" applyFont="1"/>
    <xf numFmtId="176" fontId="17" fillId="0" borderId="27" xfId="0" applyNumberFormat="1" applyFont="1" applyBorder="1"/>
    <xf numFmtId="0" fontId="17" fillId="0" borderId="0" xfId="0" applyFont="1"/>
    <xf numFmtId="9" fontId="18" fillId="0" borderId="0" xfId="1" applyFont="1" applyAlignment="1"/>
    <xf numFmtId="9" fontId="19" fillId="0" borderId="0" xfId="1" applyFont="1" applyAlignment="1"/>
    <xf numFmtId="0" fontId="0" fillId="0" borderId="0" xfId="0" applyAlignment="1">
      <alignment readingOrder="1"/>
    </xf>
    <xf numFmtId="0" fontId="8" fillId="4" borderId="0" xfId="0" applyFont="1" applyFill="1" applyAlignment="1">
      <alignment readingOrder="1"/>
    </xf>
    <xf numFmtId="176" fontId="3" fillId="4" borderId="27" xfId="0" applyNumberFormat="1" applyFont="1" applyFill="1" applyBorder="1" applyAlignment="1">
      <alignment readingOrder="1"/>
    </xf>
    <xf numFmtId="178" fontId="3" fillId="4" borderId="27" xfId="0" applyNumberFormat="1" applyFont="1" applyFill="1" applyBorder="1" applyAlignment="1">
      <alignment readingOrder="1"/>
    </xf>
    <xf numFmtId="176" fontId="3" fillId="3" borderId="20" xfId="0" applyNumberFormat="1" applyFont="1" applyFill="1" applyBorder="1" applyAlignment="1">
      <alignment readingOrder="1"/>
    </xf>
    <xf numFmtId="2" fontId="19" fillId="0" borderId="0" xfId="1" applyNumberFormat="1" applyFont="1" applyAlignment="1"/>
    <xf numFmtId="2" fontId="18" fillId="0" borderId="0" xfId="1" applyNumberFormat="1" applyFont="1" applyAlignment="1"/>
    <xf numFmtId="179" fontId="19" fillId="0" borderId="0" xfId="0" applyNumberFormat="1" applyFont="1"/>
    <xf numFmtId="179" fontId="18" fillId="0" borderId="0" xfId="0" applyNumberFormat="1" applyFont="1"/>
    <xf numFmtId="0" fontId="4" fillId="5" borderId="31" xfId="0" applyFont="1" applyFill="1" applyBorder="1" applyAlignment="1">
      <alignment readingOrder="1"/>
    </xf>
    <xf numFmtId="0" fontId="1" fillId="5" borderId="32" xfId="0" applyFont="1" applyFill="1" applyBorder="1" applyAlignment="1">
      <alignment readingOrder="1"/>
    </xf>
    <xf numFmtId="0" fontId="1" fillId="5" borderId="33" xfId="0" applyFont="1" applyFill="1" applyBorder="1" applyAlignment="1">
      <alignment wrapText="1" readingOrder="1"/>
    </xf>
    <xf numFmtId="0" fontId="20" fillId="0" borderId="0" xfId="0" applyFont="1"/>
    <xf numFmtId="179" fontId="21" fillId="0" borderId="0" xfId="0" applyNumberFormat="1" applyFont="1"/>
    <xf numFmtId="9" fontId="21" fillId="0" borderId="0" xfId="1" applyFont="1" applyAlignment="1"/>
    <xf numFmtId="2" fontId="21" fillId="0" borderId="0" xfId="1" applyNumberFormat="1" applyFont="1" applyAlignment="1"/>
    <xf numFmtId="0" fontId="20" fillId="0" borderId="29" xfId="0" applyFont="1" applyBorder="1"/>
    <xf numFmtId="0" fontId="22" fillId="3" borderId="1" xfId="0" applyFont="1" applyFill="1" applyBorder="1" applyAlignment="1">
      <alignment readingOrder="1"/>
    </xf>
    <xf numFmtId="179" fontId="21" fillId="3" borderId="0" xfId="0" applyNumberFormat="1" applyFont="1" applyFill="1" applyAlignment="1">
      <alignment readingOrder="1"/>
    </xf>
    <xf numFmtId="0" fontId="22" fillId="4" borderId="4" xfId="0" applyFont="1" applyFill="1" applyBorder="1" applyAlignment="1">
      <alignment readingOrder="1"/>
    </xf>
    <xf numFmtId="179" fontId="21" fillId="4" borderId="0" xfId="0" applyNumberFormat="1" applyFont="1" applyFill="1" applyAlignment="1">
      <alignment readingOrder="1"/>
    </xf>
    <xf numFmtId="0" fontId="22" fillId="4" borderId="1" xfId="0" applyFont="1" applyFill="1" applyBorder="1" applyAlignment="1">
      <alignment readingOrder="1"/>
    </xf>
    <xf numFmtId="0" fontId="22" fillId="3" borderId="28" xfId="0" applyFont="1" applyFill="1" applyBorder="1" applyAlignment="1">
      <alignment readingOrder="1"/>
    </xf>
    <xf numFmtId="0" fontId="22" fillId="4" borderId="0" xfId="0" applyFont="1" applyFill="1" applyAlignment="1">
      <alignment readingOrder="1"/>
    </xf>
    <xf numFmtId="0" fontId="22" fillId="3" borderId="0" xfId="0" applyFont="1" applyFill="1" applyAlignment="1">
      <alignment readingOrder="1"/>
    </xf>
    <xf numFmtId="47" fontId="0" fillId="0" borderId="0" xfId="0" applyNumberFormat="1"/>
    <xf numFmtId="49" fontId="0" fillId="0" borderId="0" xfId="0" applyNumberFormat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百分比" xfId="1" builtinId="5"/>
    <cellStyle name="常规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charset val="134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等线"/>
        <charset val="134"/>
        <scheme val="minor"/>
      </font>
      <numFmt numFmtId="179" formatCode="0.000_);[Red]\(0.000\)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  <numFmt numFmtId="176" formatCode="0.00_ "/>
      <border diagonalUp="0" diagonalDown="0" outline="0">
        <left/>
        <right/>
        <top style="thin">
          <color rgb="FFCCCCCC"/>
        </top>
        <bottom/>
      </border>
    </dxf>
    <dxf>
      <font>
        <b/>
        <strike val="0"/>
        <outline val="0"/>
        <shadow val="0"/>
        <u val="none"/>
        <vertAlign val="baseline"/>
        <color rgb="FFFF0000"/>
      </font>
      <numFmt numFmtId="176" formatCode="0.00_ "/>
    </dxf>
    <dxf>
      <numFmt numFmtId="176" formatCode="0.00_ "/>
      <border diagonalUp="0" diagonalDown="0" outline="0">
        <left/>
        <right/>
        <top style="thin">
          <color rgb="FFCCCCCC"/>
        </top>
        <bottom/>
      </border>
    </dxf>
    <dxf>
      <font>
        <sz val="10"/>
        <color rgb="FF434343"/>
        <name val="Roboto"/>
        <charset val="1"/>
        <scheme val="none"/>
      </font>
      <numFmt numFmtId="176" formatCode="0.00_ 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F6F8F9"/>
        </bottom>
      </border>
    </dxf>
    <dxf>
      <border diagonalUp="0" diagonalDown="0" outline="0">
        <left/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numFmt numFmtId="176" formatCode="0.00_ 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</dxf>
    <dxf>
      <numFmt numFmtId="176" formatCode="0.00_ "/>
      <border diagonalUp="0" diagonalDown="0" outline="0">
        <left/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numFmt numFmtId="176" formatCode="0.00_ 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</dxf>
    <dxf>
      <numFmt numFmtId="176" formatCode="0.00_ "/>
      <border diagonalUp="0" diagonalDown="0" outline="0">
        <left/>
        <right/>
        <top style="thin">
          <color rgb="FFCCCCCC"/>
        </top>
        <bottom/>
      </border>
    </dxf>
    <dxf>
      <numFmt numFmtId="178" formatCode="0_ "/>
    </dxf>
    <dxf>
      <numFmt numFmtId="177" formatCode="0_);[Red]\(0\)"/>
      <border diagonalUp="0" diagonalDown="0" outline="0">
        <left/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numFmt numFmtId="177" formatCode="0_);[Red]\(0\)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/>
        <vertical/>
        <horizontal/>
      </border>
    </dxf>
    <dxf>
      <numFmt numFmtId="176" formatCode="0.00_ "/>
      <border diagonalUp="0" diagonalDown="0" outline="0">
        <left/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numFmt numFmtId="176" formatCode="0.00_ 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/>
        <vertical/>
        <horizontal/>
      </border>
    </dxf>
    <dxf>
      <numFmt numFmtId="176" formatCode="0.00_ "/>
      <border diagonalUp="0" diagonalDown="0" outline="0">
        <left/>
        <right/>
        <top style="thin">
          <color rgb="FFCCCCCC"/>
        </top>
        <bottom/>
      </border>
    </dxf>
    <dxf>
      <numFmt numFmtId="176" formatCode="0.00_ "/>
    </dxf>
    <dxf>
      <border diagonalUp="0" diagonalDown="0" outline="0">
        <left/>
        <right/>
        <top style="thin">
          <color rgb="FFCCCCCC"/>
        </top>
        <bottom/>
      </border>
    </dxf>
    <dxf>
      <border outline="0">
        <top style="thin">
          <color rgb="FFCCCCCC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F6F8F9"/>
        </bottom>
      </border>
    </dxf>
    <dxf>
      <border outline="0"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charset val="1"/>
        <scheme val="none"/>
      </font>
      <fill>
        <patternFill patternType="solid">
          <fgColor indexed="64"/>
          <bgColor rgb="FF356854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3E4791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 Summon" id="{839C50FD-4C4E-41D1-B3BC-883515A79E96}" userId="4815194bdfbb971c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CE6F8F-8725-4717-81CE-523F24A3D071}" name="表4" displayName="表4" ref="A1:D11" totalsRowShown="0" headerRowBorderDxfId="39" tableBorderDxfId="38">
  <autoFilter ref="A1:D11" xr:uid="{11CE6F8F-8725-4717-81CE-523F24A3D071}"/>
  <tableColumns count="4">
    <tableColumn id="1" xr3:uid="{B492D866-3D5F-45DA-AD0E-AC21A803BF64}" name="参数名称"/>
    <tableColumn id="2" xr3:uid="{420C070D-482E-4B9F-BC4E-42F4199F3532}" name="默认值" dataDxfId="37"/>
    <tableColumn id="3" xr3:uid="{56B5BD8A-4E44-4921-9986-75B08549CA77}" name="单位" dataDxfId="36"/>
    <tableColumn id="4" xr3:uid="{EF44403E-A38F-4152-AC8F-7E6FB513C604}" name="描述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68B81-1589-4FC4-8AAF-378EB3BCF2B4}" name="表1" displayName="表1" ref="A2:I12" totalsRowCount="1" headerRowDxfId="34" headerRowBorderDxfId="33" tableBorderDxfId="32" totalsRowBorderDxfId="31">
  <autoFilter ref="A2:I11" xr:uid="{89468B81-1589-4FC4-8AAF-378EB3BCF2B4}"/>
  <tableColumns count="9">
    <tableColumn id="1" xr3:uid="{4F9691E5-4E5C-4876-8041-A018F86C31DF}" name="资源" totalsRowLabel="汇总" totalsRowDxfId="30"/>
    <tableColumn id="3" xr3:uid="{1DA053AB-9F10-469F-9176-7C2D2EC6296F}" name="基础权重" totalsRowFunction="sum" dataDxfId="29" totalsRowDxfId="28"/>
    <tableColumn id="8" xr3:uid="{F0711EA2-2D53-4DB6-81C9-33059E8BB44A}" name="基础权重_x000a_归一化" totalsRowFunction="sum" dataDxfId="27" totalsRowDxfId="26">
      <calculatedColumnFormula>表1[[#This Row],[基础权重]]/表1[[#Totals],[基础权重]]</calculatedColumnFormula>
    </tableColumn>
    <tableColumn id="6" xr3:uid="{29E06E47-31FF-4007-B4B5-2B78982CE9AA}" name="理想储备量" dataDxfId="25" totalsRowDxfId="24"/>
    <tableColumn id="5" xr3:uid="{092C8E4F-6160-474B-B5D0-29866023A6D8}" name="全服总量（示例）" dataDxfId="23" totalsRowDxfId="22"/>
    <tableColumn id="7" xr3:uid="{9825A3AB-F40A-48F2-908C-2AAC619E4CBD}" name="此时稀缺度" dataDxfId="21" totalsRowDxfId="20">
      <calculatedColumnFormula>表1[[#This Row],[全服总量（示例）]]/表1[[#This Row],[理想储备量]]</calculatedColumnFormula>
    </tableColumn>
    <tableColumn id="10" xr3:uid="{EF3159D9-CC95-4D7C-A616-8438B39AC306}" name="敏感度" dataDxfId="19" totalsRowDxfId="18"/>
    <tableColumn id="4" xr3:uid="{C2AC5D83-8AE6-4BB8-9E52-2E99B9EB42EA}" name="实际权重" totalsRowFunction="sum" dataDxfId="17" totalsRowDxfId="16">
      <calculatedColumnFormula xml:space="preserve"> POWER(表1[[#This Row],[此时稀缺度]],-表1[[#This Row],[敏感度]]) * 表1[[#This Row],[基础权重
归一化]]</calculatedColumnFormula>
    </tableColumn>
    <tableColumn id="9" xr3:uid="{BC19F6D1-AE73-4118-8287-A80C61FADB2E}" name="实际权重_x000a_ 归一化" totalsRowFunction="sum" dataDxfId="15" totalsRowDxfId="14">
      <calculatedColumnFormula>表1[[#This Row],[实际权重]]/表1[[#Totals],[实际权重]]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C60BC0-67CC-431E-9AF0-0A7D0EB0FA70}" name="表2" displayName="表2" ref="B1:N19" dataDxfId="13">
  <autoFilter ref="B1:N19" xr:uid="{1CC60BC0-67CC-431E-9AF0-0A7D0EB0FA70}"/>
  <sortState xmlns:xlrd2="http://schemas.microsoft.com/office/spreadsheetml/2017/richdata2" ref="B2:N18">
    <sortCondition ref="C1:C18"/>
  </sortState>
  <tableColumns count="13">
    <tableColumn id="1" xr3:uid="{D03341E7-93D4-4400-9389-792DA7BEBC99}" name="产出" totalsRowLabel="汇总" dataDxfId="12"/>
    <tableColumn id="2" xr3:uid="{1F16840E-9FC5-4ED3-BD8D-C53E02727370}" name="基础价格" dataDxfId="11"/>
    <tableColumn id="3" xr3:uid="{D095CB02-6144-417F-929A-965E4F6A50C9}" name="原料1" dataDxfId="10"/>
    <tableColumn id="4" xr3:uid="{9B4CC408-1C7D-4335-AF1D-7921A3666034}" name="数量1" dataDxfId="9"/>
    <tableColumn id="5" xr3:uid="{DC8601BA-BFD9-419E-BE0B-055C61A58A40}" name="原料2" dataDxfId="8"/>
    <tableColumn id="6" xr3:uid="{19B88A61-07F6-4505-B304-E0BB98239C18}" name="数量2" dataDxfId="7"/>
    <tableColumn id="7" xr3:uid="{AFCF90A1-EBD0-4796-B269-AD3759F8AB0B}" name="原料3" dataDxfId="6"/>
    <tableColumn id="8" xr3:uid="{9328EE38-E5CF-4CF5-9349-91C84C1D74D3}" name="数量3" dataDxfId="5"/>
    <tableColumn id="9" xr3:uid="{C72F567B-D08C-414D-9897-AA778BB33803}" name="原料4" dataDxfId="4"/>
    <tableColumn id="10" xr3:uid="{239FC877-3534-47EF-87E1-059DF1A91DCF}" name="数量4" totalsRowFunction="count" dataDxfId="3"/>
    <tableColumn id="11" xr3:uid="{59CABD7A-5AF7-4230-B2FC-9F8AA34A98AA}" name="原料成本" dataDxfId="2">
      <calculatedColumnFormula array="1">_xlfn.LET(
    _xlpm.lookup_range_name, B$2:B$19,
    _xlpm.lookup_range_price, C$2:C$19,
    _xlfn.XLOOKUP(D2, _xlpm.lookup_range_name, _xlpm.lookup_range_price, 0) * E2 +
    _xlfn.XLOOKUP(F2, _xlpm.lookup_range_name, _xlpm.lookup_range_price, 0) * G2 +
    _xlfn.XLOOKUP(H2, _xlpm.lookup_range_name, _xlpm.lookup_range_price, 0) * I2 +
    _xlfn.XLOOKUP(J2, _xlpm.lookup_range_name, _xlpm.lookup_range_price, 0) * K2
)</calculatedColumnFormula>
    </tableColumn>
    <tableColumn id="12" xr3:uid="{E0830AF6-5BFD-41D1-9340-B2523C585D75}" name="基础毛利率" dataDxfId="1" dataCellStyle="百分比">
      <calculatedColumnFormula>IFERROR((表2[[#This Row],[基础价格]]-表2[[#This Row],[原料成本]])/表2[[#This Row],[原料成本]], 0)</calculatedColumnFormula>
    </tableColumn>
    <tableColumn id="14" xr3:uid="{8EE3322A-C355-47D3-9239-A8F1D407861B}" name="生产速率(per hour)" dataDxfId="0" dataCellStyle="百分比">
      <calculatedColumnFormula>1 / LN(表2[[#This Row],[基础价格]]/生产速率公式_缩放因子 + 1)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1-25T04:52:12.60" personId="{839C50FD-4C4E-41D1-B3BC-883515A79E96}" id="{024D38B0-695E-4CF0-A98D-32E1B07B3193}">
    <text xml:space="preserve">1. 100个石头和100个房子权重是不同的。100个水在干旱和湿润的环境下也是不同的。
2. 在反应经济指标时候，需要使用权重
3. 实际权重通过修正基础权重得到
</text>
  </threadedComment>
  <threadedComment ref="D2" dT="2026-01-25T05:04:44.40" personId="{839C50FD-4C4E-41D1-B3BC-883515A79E96}" id="{F5CC294B-579B-40F0-A80E-57D1468E57C1}">
    <text>不变的</text>
  </threadedComment>
  <threadedComment ref="F2" dT="2026-01-25T05:09:39.36" personId="{839C50FD-4C4E-41D1-B3BC-883515A79E96}" id="{400059C1-357F-4244-9222-9B325A768C18}">
    <text xml:space="preserve">放大/缩小基础权重
稀缺度&lt;1 ：放大
</text>
  </threadedComment>
  <threadedComment ref="G2" dT="2026-01-25T05:21:23.72" personId="{839C50FD-4C4E-41D1-B3BC-883515A79E96}" id="{02291F8B-B2AF-4CA5-AFBD-D6ED05F3994A}">
    <text>对资源稀缺的恐慌或者敏感程度。 假设某种资源的稀缺度 \(R\) 下降了 50%低敏感度 (\(k=0.1\)) —— “淡定”只会上涨50%</text>
  </threadedComment>
  <threadedComment ref="H2" dT="2026-01-25T04:54:06.48" personId="{839C50FD-4C4E-41D1-B3BC-883515A79E96}" id="{066FCAEF-96D7-45E5-83C6-5AB6581F8037}">
    <text xml:space="preserve">通过稀缺度修正 基础权重可得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6-01-30T00:21:48.77" personId="{839C50FD-4C4E-41D1-B3BC-883515A79E96}" id="{E61A03DF-659F-4902-AFCD-821C384BDB13}">
    <text>根据原料成本与基础价格的毛利率</text>
  </threadedComment>
  <threadedComment ref="N1" dT="2026-01-30T04:04:21.69" personId="{839C50FD-4C4E-41D1-B3BC-883515A79E96}" id="{07CF8314-4ED7-4FC8-B49B-E7E487170BDE}">
    <text>生产速率与基础价格成反比，乘积表示期望一小时生产价值</text>
  </threadedComment>
  <threadedComment ref="N1" dT="2026-02-04T10:13:42.75" personId="{839C50FD-4C4E-41D1-B3BC-883515A79E96}" id="{7E3784EA-73C0-4CEB-8E70-8E8362466075}" parentId="{07CF8314-4ED7-4FC8-B49B-E7E487170BDE}">
    <text>由于基础价格往往是指数上升，因此不能直接倒数，应该是log类型。 基础价格是根据利润和配方推导的，因此最终我们必须设置合理的配方，以达到基础价格呈现指数形式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C4E1-1F49-49B0-B958-9395F2DEF814}">
  <dimension ref="A1:G25"/>
  <sheetViews>
    <sheetView topLeftCell="A13" workbookViewId="0">
      <selection activeCell="B11" sqref="B11"/>
    </sheetView>
  </sheetViews>
  <sheetFormatPr defaultRowHeight="13.9" x14ac:dyDescent="0.4"/>
  <cols>
    <col min="1" max="1" width="25.19921875" customWidth="1"/>
    <col min="4" max="4" width="36" customWidth="1"/>
    <col min="6" max="6" width="23.265625" bestFit="1" customWidth="1"/>
    <col min="7" max="7" width="10.1328125" bestFit="1" customWidth="1"/>
  </cols>
  <sheetData>
    <row r="1" spans="1:7" x14ac:dyDescent="0.4">
      <c r="A1" s="70" t="s">
        <v>0</v>
      </c>
      <c r="B1" s="71" t="s">
        <v>1</v>
      </c>
      <c r="C1" s="71" t="s">
        <v>2</v>
      </c>
      <c r="D1" s="72" t="s">
        <v>3</v>
      </c>
    </row>
    <row r="2" spans="1:7" x14ac:dyDescent="0.4">
      <c r="A2" s="18"/>
      <c r="B2" s="19"/>
      <c r="C2" s="19"/>
      <c r="D2" s="20"/>
      <c r="G2" t="s">
        <v>4</v>
      </c>
    </row>
    <row r="3" spans="1:7" x14ac:dyDescent="0.4">
      <c r="A3" s="3" t="s">
        <v>5</v>
      </c>
      <c r="B3" s="2">
        <v>0.5</v>
      </c>
      <c r="C3" s="2" t="s">
        <v>6</v>
      </c>
      <c r="D3" s="5" t="s">
        <v>7</v>
      </c>
    </row>
    <row r="4" spans="1:7" ht="26.25" x14ac:dyDescent="0.4">
      <c r="A4" s="4" t="s">
        <v>8</v>
      </c>
      <c r="B4" s="1">
        <v>0.01</v>
      </c>
      <c r="C4" s="1" t="s">
        <v>9</v>
      </c>
      <c r="D4" s="14" t="s">
        <v>10</v>
      </c>
    </row>
    <row r="5" spans="1:7" ht="26.25" x14ac:dyDescent="0.4">
      <c r="A5" s="3" t="s">
        <v>11</v>
      </c>
      <c r="B5" s="2">
        <v>1.2</v>
      </c>
      <c r="C5" s="2" t="s">
        <v>12</v>
      </c>
      <c r="D5" s="5" t="s">
        <v>13</v>
      </c>
    </row>
    <row r="6" spans="1:7" x14ac:dyDescent="0.4">
      <c r="A6" s="6" t="s">
        <v>14</v>
      </c>
      <c r="B6" s="7">
        <v>0</v>
      </c>
      <c r="C6" s="8"/>
      <c r="D6" s="15"/>
      <c r="G6" t="s">
        <v>15</v>
      </c>
    </row>
    <row r="7" spans="1:7" x14ac:dyDescent="0.4">
      <c r="A7" s="9"/>
      <c r="B7" s="10"/>
      <c r="C7" s="10"/>
      <c r="D7" s="16"/>
      <c r="G7" t="s">
        <v>16</v>
      </c>
    </row>
    <row r="8" spans="1:7" x14ac:dyDescent="0.4">
      <c r="A8" s="9"/>
      <c r="B8" s="10"/>
      <c r="C8" s="10"/>
      <c r="D8" s="16"/>
    </row>
    <row r="9" spans="1:7" x14ac:dyDescent="0.4">
      <c r="A9" s="11" t="s">
        <v>17</v>
      </c>
      <c r="B9" s="10"/>
      <c r="C9" s="10"/>
      <c r="D9" s="16"/>
    </row>
    <row r="10" spans="1:7" x14ac:dyDescent="0.4">
      <c r="A10" s="12" t="s">
        <v>18</v>
      </c>
      <c r="B10" s="13"/>
      <c r="C10" s="13"/>
      <c r="D10" s="17"/>
    </row>
    <row r="11" spans="1:7" x14ac:dyDescent="0.4">
      <c r="A11" t="s">
        <v>63</v>
      </c>
      <c r="B11">
        <v>10</v>
      </c>
      <c r="D11" t="s">
        <v>62</v>
      </c>
    </row>
    <row r="13" spans="1:7" x14ac:dyDescent="0.4">
      <c r="A13" t="s">
        <v>19</v>
      </c>
      <c r="D13" t="s">
        <v>20</v>
      </c>
    </row>
    <row r="15" spans="1:7" x14ac:dyDescent="0.4">
      <c r="G15" t="s">
        <v>21</v>
      </c>
    </row>
    <row r="16" spans="1:7" ht="55.5" x14ac:dyDescent="0.4">
      <c r="A16" s="54" t="s">
        <v>22</v>
      </c>
      <c r="F16" t="s">
        <v>23</v>
      </c>
    </row>
    <row r="25" spans="1:1" x14ac:dyDescent="0.4">
      <c r="A25" t="s">
        <v>14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A7A6-0FC3-4194-A115-0A4F2B40571E}">
  <dimension ref="A1:F4"/>
  <sheetViews>
    <sheetView workbookViewId="0">
      <selection activeCell="D4" sqref="D4"/>
    </sheetView>
  </sheetViews>
  <sheetFormatPr defaultRowHeight="13.9" x14ac:dyDescent="0.4"/>
  <cols>
    <col min="1" max="1" width="2.59765625" bestFit="1" customWidth="1"/>
    <col min="2" max="2" width="5.73046875" bestFit="1" customWidth="1"/>
    <col min="3" max="3" width="9.86328125" bestFit="1" customWidth="1"/>
    <col min="4" max="4" width="10.06640625" bestFit="1" customWidth="1"/>
    <col min="5" max="5" width="11.3984375" bestFit="1" customWidth="1"/>
    <col min="6" max="6" width="9" bestFit="1" customWidth="1"/>
  </cols>
  <sheetData>
    <row r="1" spans="1:6" x14ac:dyDescent="0.4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</row>
    <row r="2" spans="1:6" x14ac:dyDescent="0.4">
      <c r="A2">
        <v>1</v>
      </c>
      <c r="B2" t="s">
        <v>61</v>
      </c>
      <c r="C2">
        <v>1</v>
      </c>
      <c r="D2" t="s">
        <v>139</v>
      </c>
      <c r="E2">
        <v>1</v>
      </c>
      <c r="F2">
        <v>1</v>
      </c>
    </row>
    <row r="3" spans="1:6" x14ac:dyDescent="0.4">
      <c r="A3">
        <v>2</v>
      </c>
      <c r="B3" t="s">
        <v>67</v>
      </c>
      <c r="C3">
        <v>0.5</v>
      </c>
      <c r="D3" t="s">
        <v>138</v>
      </c>
      <c r="E3">
        <v>1</v>
      </c>
      <c r="F3">
        <v>1</v>
      </c>
    </row>
    <row r="4" spans="1:6" x14ac:dyDescent="0.4">
      <c r="A4">
        <v>3</v>
      </c>
      <c r="B4" t="s">
        <v>37</v>
      </c>
      <c r="C4">
        <v>2</v>
      </c>
      <c r="D4" t="s">
        <v>140</v>
      </c>
      <c r="E4">
        <v>2</v>
      </c>
      <c r="F4">
        <v>1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807F-8E39-4D7E-A811-0E33299E04FE}">
  <dimension ref="A1:B3"/>
  <sheetViews>
    <sheetView workbookViewId="0">
      <selection activeCell="G11" sqref="G11"/>
    </sheetView>
  </sheetViews>
  <sheetFormatPr defaultRowHeight="13.9" x14ac:dyDescent="0.4"/>
  <sheetData>
    <row r="1" spans="1:2" x14ac:dyDescent="0.4">
      <c r="A1" t="s">
        <v>121</v>
      </c>
      <c r="B1" t="s">
        <v>122</v>
      </c>
    </row>
    <row r="2" spans="1:2" x14ac:dyDescent="0.4">
      <c r="A2" t="s">
        <v>135</v>
      </c>
      <c r="B2" t="s">
        <v>137</v>
      </c>
    </row>
    <row r="3" spans="1:2" x14ac:dyDescent="0.4">
      <c r="A3" t="s">
        <v>136</v>
      </c>
      <c r="B3" t="s">
        <v>61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2069-881B-4F3B-9AEA-E96ED6027DBC}">
  <dimension ref="A1:D3"/>
  <sheetViews>
    <sheetView workbookViewId="0">
      <selection activeCell="H8" sqref="H8"/>
    </sheetView>
  </sheetViews>
  <sheetFormatPr defaultRowHeight="13.9" x14ac:dyDescent="0.4"/>
  <cols>
    <col min="1" max="1" width="2.59765625" bestFit="1" customWidth="1"/>
    <col min="2" max="2" width="8.46484375" bestFit="1" customWidth="1"/>
    <col min="3" max="3" width="7.86328125" bestFit="1" customWidth="1"/>
    <col min="4" max="4" width="10.6640625" bestFit="1" customWidth="1"/>
    <col min="5" max="5" width="10.1328125" bestFit="1" customWidth="1"/>
    <col min="6" max="6" width="8.59765625" bestFit="1" customWidth="1"/>
  </cols>
  <sheetData>
    <row r="1" spans="1:4" x14ac:dyDescent="0.4">
      <c r="A1" t="s">
        <v>121</v>
      </c>
      <c r="B1" t="s">
        <v>141</v>
      </c>
      <c r="C1" t="s">
        <v>127</v>
      </c>
      <c r="D1" t="s">
        <v>142</v>
      </c>
    </row>
    <row r="2" spans="1:4" x14ac:dyDescent="0.4">
      <c r="A2">
        <v>1</v>
      </c>
      <c r="B2">
        <v>1</v>
      </c>
      <c r="C2">
        <v>1</v>
      </c>
      <c r="D2">
        <v>1</v>
      </c>
    </row>
    <row r="3" spans="1:4" x14ac:dyDescent="0.4">
      <c r="A3">
        <v>2</v>
      </c>
      <c r="B3">
        <v>1</v>
      </c>
      <c r="C3">
        <v>2</v>
      </c>
      <c r="D3">
        <v>2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06AE-D2FE-4D1F-9F63-453C731E4181}">
  <dimension ref="A1:D4"/>
  <sheetViews>
    <sheetView workbookViewId="0">
      <selection activeCell="C5" sqref="C5"/>
    </sheetView>
  </sheetViews>
  <sheetFormatPr defaultRowHeight="13.9" x14ac:dyDescent="0.4"/>
  <cols>
    <col min="1" max="1" width="2.59765625" bestFit="1" customWidth="1"/>
    <col min="2" max="2" width="9" bestFit="1" customWidth="1"/>
    <col min="3" max="3" width="8.59765625" bestFit="1" customWidth="1"/>
    <col min="4" max="4" width="15.46484375" bestFit="1" customWidth="1"/>
  </cols>
  <sheetData>
    <row r="1" spans="1:4" x14ac:dyDescent="0.4">
      <c r="A1" t="s">
        <v>121</v>
      </c>
      <c r="B1" t="s">
        <v>146</v>
      </c>
      <c r="C1" t="s">
        <v>128</v>
      </c>
      <c r="D1" t="s">
        <v>129</v>
      </c>
    </row>
    <row r="2" spans="1:4" x14ac:dyDescent="0.4">
      <c r="A2">
        <v>1</v>
      </c>
      <c r="B2">
        <v>3</v>
      </c>
      <c r="C2">
        <v>10</v>
      </c>
      <c r="D2" t="s">
        <v>145</v>
      </c>
    </row>
    <row r="3" spans="1:4" x14ac:dyDescent="0.4">
      <c r="A3">
        <v>2</v>
      </c>
      <c r="B3">
        <v>1</v>
      </c>
      <c r="C3">
        <v>100</v>
      </c>
      <c r="D3" t="s">
        <v>144</v>
      </c>
    </row>
    <row r="4" spans="1:4" x14ac:dyDescent="0.4">
      <c r="A4">
        <v>3</v>
      </c>
      <c r="B4">
        <v>2</v>
      </c>
      <c r="C4">
        <v>200</v>
      </c>
      <c r="D4" t="s">
        <v>143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25BA-4F89-406E-8111-7030D7B73FFF}">
  <dimension ref="A1:D4"/>
  <sheetViews>
    <sheetView workbookViewId="0">
      <selection activeCell="A2" sqref="A2"/>
    </sheetView>
  </sheetViews>
  <sheetFormatPr defaultRowHeight="13.9" x14ac:dyDescent="0.4"/>
  <cols>
    <col min="1" max="1" width="12.265625" bestFit="1" customWidth="1"/>
    <col min="2" max="2" width="6.86328125" bestFit="1" customWidth="1"/>
    <col min="3" max="3" width="12.1328125" bestFit="1" customWidth="1"/>
    <col min="4" max="4" width="16.33203125" bestFit="1" customWidth="1"/>
  </cols>
  <sheetData>
    <row r="1" spans="1:4" x14ac:dyDescent="0.4">
      <c r="A1" t="s">
        <v>121</v>
      </c>
      <c r="B1" t="s">
        <v>122</v>
      </c>
      <c r="C1" t="s">
        <v>130</v>
      </c>
      <c r="D1" t="s">
        <v>131</v>
      </c>
    </row>
    <row r="2" spans="1:4" x14ac:dyDescent="0.4">
      <c r="A2" t="s">
        <v>143</v>
      </c>
      <c r="B2" s="61" t="s">
        <v>132</v>
      </c>
      <c r="C2">
        <v>1</v>
      </c>
      <c r="D2">
        <v>1</v>
      </c>
    </row>
    <row r="3" spans="1:4" x14ac:dyDescent="0.4">
      <c r="A3" t="s">
        <v>144</v>
      </c>
      <c r="B3" t="s">
        <v>133</v>
      </c>
      <c r="C3">
        <v>1</v>
      </c>
      <c r="D3">
        <v>1</v>
      </c>
    </row>
    <row r="4" spans="1:4" x14ac:dyDescent="0.4">
      <c r="A4" t="s">
        <v>145</v>
      </c>
      <c r="B4" t="s">
        <v>134</v>
      </c>
      <c r="C4">
        <v>1</v>
      </c>
      <c r="D4">
        <v>1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147D-6BF8-498A-A354-9332B9B33EF8}">
  <dimension ref="A1:F4"/>
  <sheetViews>
    <sheetView workbookViewId="0">
      <selection activeCell="F5" sqref="F5"/>
    </sheetView>
  </sheetViews>
  <sheetFormatPr defaultRowHeight="13.9" x14ac:dyDescent="0.4"/>
  <cols>
    <col min="1" max="1" width="2.59765625" bestFit="1" customWidth="1"/>
    <col min="2" max="2" width="15.46484375" bestFit="1" customWidth="1"/>
    <col min="3" max="3" width="4.796875" bestFit="1" customWidth="1"/>
    <col min="4" max="4" width="4.46484375" bestFit="1" customWidth="1"/>
    <col min="5" max="5" width="8.1328125" bestFit="1" customWidth="1"/>
    <col min="6" max="6" width="14.59765625" bestFit="1" customWidth="1"/>
  </cols>
  <sheetData>
    <row r="1" spans="1:6" x14ac:dyDescent="0.4">
      <c r="A1" t="s">
        <v>121</v>
      </c>
      <c r="B1" t="s">
        <v>129</v>
      </c>
      <c r="C1" t="s">
        <v>147</v>
      </c>
      <c r="D1" t="s">
        <v>148</v>
      </c>
      <c r="E1" t="s">
        <v>149</v>
      </c>
      <c r="F1" t="s">
        <v>150</v>
      </c>
    </row>
    <row r="2" spans="1:6" x14ac:dyDescent="0.4">
      <c r="A2">
        <v>1</v>
      </c>
      <c r="B2" t="s">
        <v>151</v>
      </c>
      <c r="C2">
        <v>1</v>
      </c>
      <c r="D2">
        <v>0</v>
      </c>
      <c r="E2">
        <v>0</v>
      </c>
      <c r="F2">
        <v>1</v>
      </c>
    </row>
    <row r="3" spans="1:6" x14ac:dyDescent="0.4">
      <c r="A3">
        <v>2</v>
      </c>
      <c r="B3" t="s">
        <v>151</v>
      </c>
      <c r="C3">
        <v>2</v>
      </c>
      <c r="D3">
        <v>12</v>
      </c>
      <c r="E3">
        <v>122</v>
      </c>
      <c r="F3">
        <v>1.1000000000000001</v>
      </c>
    </row>
    <row r="4" spans="1:6" x14ac:dyDescent="0.4">
      <c r="A4">
        <v>3</v>
      </c>
      <c r="B4" t="s">
        <v>151</v>
      </c>
      <c r="C4">
        <v>3</v>
      </c>
      <c r="D4">
        <v>32</v>
      </c>
      <c r="E4">
        <v>345</v>
      </c>
      <c r="F4">
        <v>1.2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16D7-E558-4F44-9073-1C1CACFA968A}">
  <dimension ref="A1:E3"/>
  <sheetViews>
    <sheetView tabSelected="1" workbookViewId="0">
      <selection activeCell="F3" sqref="F3"/>
    </sheetView>
  </sheetViews>
  <sheetFormatPr defaultRowHeight="13.9" x14ac:dyDescent="0.4"/>
  <cols>
    <col min="1" max="1" width="2.59765625" bestFit="1" customWidth="1"/>
    <col min="2" max="2" width="20.46484375" bestFit="1" customWidth="1"/>
    <col min="3" max="3" width="5.46484375" bestFit="1" customWidth="1"/>
    <col min="4" max="4" width="12.86328125" bestFit="1" customWidth="1"/>
  </cols>
  <sheetData>
    <row r="1" spans="1:5" x14ac:dyDescent="0.4">
      <c r="A1" t="s">
        <v>121</v>
      </c>
      <c r="B1" t="s">
        <v>152</v>
      </c>
      <c r="C1" t="s">
        <v>153</v>
      </c>
      <c r="D1" t="s">
        <v>155</v>
      </c>
      <c r="E1" t="s">
        <v>157</v>
      </c>
    </row>
    <row r="2" spans="1:5" x14ac:dyDescent="0.4">
      <c r="A2">
        <v>1</v>
      </c>
      <c r="B2" t="s">
        <v>154</v>
      </c>
      <c r="C2" s="87">
        <v>0.1</v>
      </c>
      <c r="D2" t="s">
        <v>156</v>
      </c>
      <c r="E2" t="s">
        <v>158</v>
      </c>
    </row>
    <row r="3" spans="1:5" x14ac:dyDescent="0.4">
      <c r="A3">
        <v>2</v>
      </c>
      <c r="B3" t="s">
        <v>159</v>
      </c>
      <c r="C3">
        <v>0.1</v>
      </c>
      <c r="D3" t="s">
        <v>160</v>
      </c>
      <c r="E3" t="s">
        <v>158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Normal="100" workbookViewId="0">
      <selection activeCell="G3" sqref="G3"/>
    </sheetView>
  </sheetViews>
  <sheetFormatPr defaultRowHeight="13.9" x14ac:dyDescent="0.4"/>
  <cols>
    <col min="3" max="3" width="10.73046875" style="32" bestFit="1" customWidth="1"/>
    <col min="4" max="4" width="10.1328125" style="48" customWidth="1"/>
    <col min="6" max="6" width="10.1328125" customWidth="1"/>
    <col min="7" max="7" width="14" customWidth="1"/>
    <col min="8" max="8" width="10.1328125" customWidth="1"/>
    <col min="9" max="9" width="9" style="58"/>
    <col min="10" max="10" width="10.1328125" style="53" customWidth="1"/>
  </cols>
  <sheetData>
    <row r="1" spans="1:10" x14ac:dyDescent="0.4">
      <c r="A1" s="88" t="s">
        <v>24</v>
      </c>
      <c r="B1" s="88"/>
      <c r="C1" s="88"/>
      <c r="D1" s="88"/>
      <c r="E1" s="88"/>
      <c r="F1" s="88"/>
      <c r="G1" s="88"/>
      <c r="H1" s="88"/>
      <c r="I1" s="88"/>
    </row>
    <row r="2" spans="1:10" ht="24" customHeight="1" x14ac:dyDescent="0.4">
      <c r="A2" s="23" t="s">
        <v>25</v>
      </c>
      <c r="B2" s="29" t="s">
        <v>26</v>
      </c>
      <c r="C2" s="34" t="s">
        <v>27</v>
      </c>
      <c r="D2" s="44" t="s">
        <v>28</v>
      </c>
      <c r="E2" s="25" t="s">
        <v>29</v>
      </c>
      <c r="F2" s="31" t="s">
        <v>30</v>
      </c>
      <c r="G2" s="30" t="s">
        <v>31</v>
      </c>
      <c r="H2" s="24" t="s">
        <v>32</v>
      </c>
      <c r="I2" s="55" t="s">
        <v>33</v>
      </c>
      <c r="J2"/>
    </row>
    <row r="3" spans="1:10" x14ac:dyDescent="0.4">
      <c r="A3" s="21" t="s">
        <v>34</v>
      </c>
      <c r="B3" s="35">
        <v>0.4</v>
      </c>
      <c r="C3" s="35">
        <f>表1[[#This Row],[基础权重]]/表1[[#Totals],[基础权重]]</f>
        <v>0.24999999999999994</v>
      </c>
      <c r="D3" s="45">
        <v>1000</v>
      </c>
      <c r="E3" s="49">
        <v>100</v>
      </c>
      <c r="F3" s="40">
        <f>表1[[#This Row],[全服总量（示例）]]/表1[[#This Row],[理想储备量]]</f>
        <v>0.1</v>
      </c>
      <c r="G3">
        <v>0.1</v>
      </c>
      <c r="H3" s="35">
        <f xml:space="preserve"> POWER(表1[[#This Row],[此时稀缺度]],-表1[[#This Row],[敏感度]]) * 表1[[#This Row],[基础权重
归一化]]</f>
        <v>0.31473135294854176</v>
      </c>
      <c r="I3" s="56">
        <f>表1[[#This Row],[实际权重]]/表1[[#Totals],[实际权重]]</f>
        <v>8.8892137742189736E-2</v>
      </c>
      <c r="J3"/>
    </row>
    <row r="4" spans="1:10" x14ac:dyDescent="0.4">
      <c r="A4" s="22" t="s">
        <v>35</v>
      </c>
      <c r="B4" s="36">
        <v>0.2</v>
      </c>
      <c r="C4" s="36">
        <f>表1[[#This Row],[基础权重]]/表1[[#Totals],[基础权重]]</f>
        <v>0.12499999999999997</v>
      </c>
      <c r="D4" s="45">
        <v>1000</v>
      </c>
      <c r="E4" s="50">
        <v>20000</v>
      </c>
      <c r="F4" s="41">
        <f>表1[[#This Row],[全服总量（示例）]]/表1[[#This Row],[理想储备量]]</f>
        <v>20</v>
      </c>
      <c r="G4">
        <v>0.1</v>
      </c>
      <c r="H4" s="35">
        <f xml:space="preserve"> POWER(表1[[#This Row],[此时稀缺度]],-表1[[#This Row],[敏感度]]) * 表1[[#This Row],[基础权重
归一化]]</f>
        <v>9.2641806138368463E-2</v>
      </c>
      <c r="I4" s="56">
        <f>表1[[#This Row],[实际权重]]/表1[[#Totals],[实际权重]]</f>
        <v>2.6165579357718207E-2</v>
      </c>
      <c r="J4"/>
    </row>
    <row r="5" spans="1:10" x14ac:dyDescent="0.4">
      <c r="A5" s="21" t="s">
        <v>36</v>
      </c>
      <c r="B5" s="35">
        <v>0.3</v>
      </c>
      <c r="C5" s="37">
        <f>表1[[#This Row],[基础权重]]/表1[[#Totals],[基础权重]]</f>
        <v>0.18749999999999994</v>
      </c>
      <c r="D5" s="45">
        <v>200</v>
      </c>
      <c r="E5" s="49">
        <v>1</v>
      </c>
      <c r="F5" s="40">
        <f>表1[[#This Row],[全服总量（示例）]]/表1[[#This Row],[理想储备量]]</f>
        <v>5.0000000000000001E-3</v>
      </c>
      <c r="G5">
        <v>0.5</v>
      </c>
      <c r="H5" s="35">
        <f xml:space="preserve"> POWER(表1[[#This Row],[此时稀缺度]],-表1[[#This Row],[敏感度]]) * 表1[[#This Row],[基础权重
归一化]]</f>
        <v>2.6516504294495524</v>
      </c>
      <c r="I5" s="56">
        <f>表1[[#This Row],[实际权重]]/表1[[#Totals],[实际权重]]</f>
        <v>0.74892721367135184</v>
      </c>
      <c r="J5"/>
    </row>
    <row r="6" spans="1:10" x14ac:dyDescent="0.4">
      <c r="A6" s="28" t="s">
        <v>37</v>
      </c>
      <c r="B6" s="42">
        <v>0.2</v>
      </c>
      <c r="C6" s="38">
        <f>表1[[#This Row],[基础权重]]/表1[[#Totals],[基础权重]]</f>
        <v>0.12499999999999997</v>
      </c>
      <c r="D6" s="46">
        <v>100</v>
      </c>
      <c r="E6" s="51">
        <v>144</v>
      </c>
      <c r="F6" s="40">
        <f>表1[[#This Row],[全服总量（示例）]]/表1[[#This Row],[理想储备量]]</f>
        <v>1.44</v>
      </c>
      <c r="G6">
        <v>0.2</v>
      </c>
      <c r="H6" s="35">
        <f xml:space="preserve"> POWER(表1[[#This Row],[此时稀缺度]],-表1[[#This Row],[敏感度]]) * 表1[[#This Row],[基础权重
归一化]]</f>
        <v>0.116208398096857</v>
      </c>
      <c r="I6" s="56">
        <f>表1[[#This Row],[实际权重]]/表1[[#Totals],[实际权重]]</f>
        <v>3.2821683742814071E-2</v>
      </c>
      <c r="J6"/>
    </row>
    <row r="7" spans="1:10" x14ac:dyDescent="0.4">
      <c r="A7" s="26" t="s">
        <v>38</v>
      </c>
      <c r="B7" s="43">
        <v>0.1</v>
      </c>
      <c r="C7" s="39">
        <f>表1[[#This Row],[基础权重]]/表1[[#Totals],[基础权重]]</f>
        <v>6.2499999999999986E-2</v>
      </c>
      <c r="D7" s="46">
        <v>1200</v>
      </c>
      <c r="E7" s="52">
        <v>100</v>
      </c>
      <c r="F7" s="41">
        <f>表1[[#This Row],[全服总量（示例）]]/表1[[#This Row],[理想储备量]]</f>
        <v>8.3333333333333329E-2</v>
      </c>
      <c r="G7">
        <v>0.3</v>
      </c>
      <c r="H7" s="35">
        <f xml:space="preserve"> POWER(表1[[#This Row],[此时稀缺度]],-表1[[#This Row],[敏感度]]) * 表1[[#This Row],[基础权重
归一化]]</f>
        <v>0.13171474370902941</v>
      </c>
      <c r="I7" s="56">
        <f>表1[[#This Row],[实际权重]]/表1[[#Totals],[实际权重]]</f>
        <v>3.7201267146634014E-2</v>
      </c>
      <c r="J7"/>
    </row>
    <row r="8" spans="1:10" x14ac:dyDescent="0.4">
      <c r="A8" s="62" t="s">
        <v>39</v>
      </c>
      <c r="B8" s="63">
        <v>0.1</v>
      </c>
      <c r="C8" s="42">
        <f>表1[[#This Row],[基础权重]]/表1[[#Totals],[基础权重]]</f>
        <v>6.2499999999999986E-2</v>
      </c>
      <c r="D8" s="46">
        <v>100</v>
      </c>
      <c r="E8" s="64">
        <v>199</v>
      </c>
      <c r="F8" s="40">
        <f>表1[[#This Row],[全服总量（示例）]]/表1[[#This Row],[理想储备量]]</f>
        <v>1.99</v>
      </c>
      <c r="G8" s="40">
        <v>0.1</v>
      </c>
      <c r="H8" s="65">
        <f xml:space="preserve"> POWER(表1[[#This Row],[此时稀缺度]],-表1[[#This Row],[敏感度]]) * 表1[[#This Row],[基础权重
归一化]]</f>
        <v>5.8343799716289467E-2</v>
      </c>
      <c r="I8" s="56">
        <f>表1[[#This Row],[实际权重]]/表1[[#Totals],[实际权重]]</f>
        <v>1.6478514238240156E-2</v>
      </c>
      <c r="J8"/>
    </row>
    <row r="9" spans="1:10" x14ac:dyDescent="0.4">
      <c r="A9" s="62" t="s">
        <v>40</v>
      </c>
      <c r="B9" s="63">
        <v>0.1</v>
      </c>
      <c r="C9" s="42">
        <f>表1[[#This Row],[基础权重]]/表1[[#Totals],[基础权重]]</f>
        <v>6.2499999999999986E-2</v>
      </c>
      <c r="D9" s="46">
        <v>100</v>
      </c>
      <c r="E9" s="64">
        <v>100</v>
      </c>
      <c r="F9" s="40">
        <f>表1[[#This Row],[全服总量（示例）]]/表1[[#This Row],[理想储备量]]</f>
        <v>1</v>
      </c>
      <c r="G9" s="40">
        <v>0.1</v>
      </c>
      <c r="H9" s="65">
        <f xml:space="preserve"> POWER(表1[[#This Row],[此时稀缺度]],-表1[[#This Row],[敏感度]]) * 表1[[#This Row],[基础权重
归一化]]</f>
        <v>6.2499999999999986E-2</v>
      </c>
      <c r="I9" s="56">
        <f>表1[[#This Row],[实际权重]]/表1[[#Totals],[实际权重]]</f>
        <v>1.7652383713405311E-2</v>
      </c>
      <c r="J9"/>
    </row>
    <row r="10" spans="1:10" x14ac:dyDescent="0.4">
      <c r="A10" s="62" t="s">
        <v>41</v>
      </c>
      <c r="B10" s="63">
        <v>0.1</v>
      </c>
      <c r="C10" s="42">
        <f>表1[[#This Row],[基础权重]]/表1[[#Totals],[基础权重]]</f>
        <v>6.2499999999999986E-2</v>
      </c>
      <c r="D10" s="46">
        <v>100</v>
      </c>
      <c r="E10" s="64">
        <v>199</v>
      </c>
      <c r="F10" s="40">
        <f>表1[[#This Row],[全服总量（示例）]]/表1[[#This Row],[理想储备量]]</f>
        <v>1.99</v>
      </c>
      <c r="G10" s="40">
        <v>0.1</v>
      </c>
      <c r="H10" s="65">
        <f xml:space="preserve"> POWER(表1[[#This Row],[此时稀缺度]],-表1[[#This Row],[敏感度]]) * 表1[[#This Row],[基础权重
归一化]]</f>
        <v>5.8343799716289467E-2</v>
      </c>
      <c r="I10" s="56">
        <f>表1[[#This Row],[实际权重]]/表1[[#Totals],[实际权重]]</f>
        <v>1.6478514238240156E-2</v>
      </c>
      <c r="J10"/>
    </row>
    <row r="11" spans="1:10" x14ac:dyDescent="0.4">
      <c r="A11" t="s">
        <v>42</v>
      </c>
      <c r="B11" s="63">
        <v>0.1</v>
      </c>
      <c r="C11" s="42">
        <f>表1[[#This Row],[基础权重]]/表1[[#Totals],[基础权重]]</f>
        <v>6.2499999999999986E-2</v>
      </c>
      <c r="D11" s="46">
        <v>100</v>
      </c>
      <c r="E11" s="64">
        <v>199</v>
      </c>
      <c r="F11" s="40">
        <f>表1[[#This Row],[全服总量（示例）]]/表1[[#This Row],[理想储备量]]</f>
        <v>1.99</v>
      </c>
      <c r="G11" s="40">
        <v>0.2</v>
      </c>
      <c r="H11" s="65">
        <f xml:space="preserve"> POWER(表1[[#This Row],[此时稀缺度]],-表1[[#This Row],[敏感度]]) * 表1[[#This Row],[基础权重
归一化]]</f>
        <v>5.4463983445351992E-2</v>
      </c>
      <c r="I11" s="56">
        <f>表1[[#This Row],[实际权重]]/表1[[#Totals],[实际权重]]</f>
        <v>1.538270614940653E-2</v>
      </c>
      <c r="J11"/>
    </row>
    <row r="12" spans="1:10" x14ac:dyDescent="0.4">
      <c r="A12" s="27" t="s">
        <v>43</v>
      </c>
      <c r="B12" s="33">
        <f>SUBTOTAL(109,表1[基础权重])</f>
        <v>1.6000000000000005</v>
      </c>
      <c r="C12" s="33">
        <f>SUBTOTAL(109,表1[基础权重
归一化])</f>
        <v>0.99999999999999978</v>
      </c>
      <c r="D12" s="47"/>
      <c r="E12" s="33"/>
      <c r="F12" s="33"/>
      <c r="G12" s="27"/>
      <c r="H12" s="33">
        <f>SUBTOTAL(109,表1[实际权重])</f>
        <v>3.5405983132202801</v>
      </c>
      <c r="I12" s="57">
        <f>SUBTOTAL(109,表1[实际权重
 归一化])</f>
        <v>1</v>
      </c>
      <c r="J12"/>
    </row>
    <row r="13" spans="1:10" x14ac:dyDescent="0.4">
      <c r="B13" s="32"/>
      <c r="E13" s="32"/>
      <c r="F13" s="32"/>
      <c r="H13" s="32"/>
      <c r="I13" s="56"/>
      <c r="J13"/>
    </row>
  </sheetData>
  <mergeCells count="1">
    <mergeCell ref="A1:I1"/>
  </mergeCells>
  <phoneticPr fontId="7" type="noConversion"/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B63A-C497-4258-8D97-7912748EDDBA}">
  <dimension ref="A1:L2"/>
  <sheetViews>
    <sheetView workbookViewId="0">
      <selection activeCell="E10" sqref="E10"/>
    </sheetView>
  </sheetViews>
  <sheetFormatPr defaultRowHeight="13.9" x14ac:dyDescent="0.4"/>
  <sheetData>
    <row r="1" spans="1:12" x14ac:dyDescent="0.4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</row>
    <row r="2" spans="1:12" x14ac:dyDescent="0.4">
      <c r="A2">
        <v>0</v>
      </c>
      <c r="B2" t="s">
        <v>119</v>
      </c>
      <c r="C2" t="s">
        <v>120</v>
      </c>
      <c r="D2">
        <v>111111</v>
      </c>
      <c r="E2">
        <v>0</v>
      </c>
      <c r="F2">
        <v>1</v>
      </c>
      <c r="G2">
        <v>1</v>
      </c>
      <c r="H2">
        <v>1</v>
      </c>
      <c r="I2">
        <v>1</v>
      </c>
      <c r="J2">
        <v>1000</v>
      </c>
      <c r="K2">
        <v>1</v>
      </c>
      <c r="L2" s="86">
        <v>0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DFFC-C249-4BB8-A648-B43B8C702911}">
  <dimension ref="A1:N48"/>
  <sheetViews>
    <sheetView topLeftCell="A25" zoomScaleNormal="100" workbookViewId="0">
      <selection activeCell="G33" sqref="G33"/>
    </sheetView>
  </sheetViews>
  <sheetFormatPr defaultRowHeight="13.9" x14ac:dyDescent="0.4"/>
  <cols>
    <col min="1" max="1" width="22" customWidth="1"/>
    <col min="3" max="3" width="11" style="69" bestFit="1" customWidth="1"/>
    <col min="13" max="13" width="12.1328125" style="59" customWidth="1"/>
    <col min="14" max="14" width="12.1328125" style="67" customWidth="1"/>
  </cols>
  <sheetData>
    <row r="1" spans="1:14" x14ac:dyDescent="0.4">
      <c r="A1" t="s">
        <v>74</v>
      </c>
      <c r="B1" t="s">
        <v>44</v>
      </c>
      <c r="C1" s="68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s="60" t="s">
        <v>55</v>
      </c>
      <c r="N1" s="66" t="s">
        <v>56</v>
      </c>
    </row>
    <row r="2" spans="1:14" x14ac:dyDescent="0.4">
      <c r="B2" s="78" t="s">
        <v>34</v>
      </c>
      <c r="C2" s="79">
        <v>0.01</v>
      </c>
      <c r="D2" s="73"/>
      <c r="E2" s="73"/>
      <c r="F2" s="73"/>
      <c r="G2" s="73"/>
      <c r="H2" s="73"/>
      <c r="I2" s="73"/>
      <c r="J2" s="73"/>
      <c r="K2" s="73"/>
      <c r="L2" s="73" cm="1">
        <f t="array" ref="L2">_xlfn.LET(
    _xlpm.lookup_range_name, B$2:B$19,
    _xlpm.lookup_range_price, C$2:C$19,
    _xlfn.XLOOKUP(D2, _xlpm.lookup_range_name, _xlpm.lookup_range_price, 0) * E2 +
    _xlfn.XLOOKUP(F2, _xlpm.lookup_range_name, _xlpm.lookup_range_price, 0) * G2 +
    _xlfn.XLOOKUP(H2, _xlpm.lookup_range_name, _xlpm.lookup_range_price, 0) * I2 +
    _xlfn.XLOOKUP(J2, _xlpm.lookup_range_name, _xlpm.lookup_range_price, 0) * K2
)</f>
        <v>0</v>
      </c>
      <c r="M2" s="75">
        <f>IFERROR((表2[[#This Row],[基础价格]]-表2[[#This Row],[原料成本]])/表2[[#This Row],[原料成本]], 0)</f>
        <v>0</v>
      </c>
      <c r="N2" s="76">
        <f>1 / LN(表2[[#This Row],[基础价格]]/生产速率公式_缩放因子 + 1)</f>
        <v>1000.499916708417</v>
      </c>
    </row>
    <row r="3" spans="1:14" x14ac:dyDescent="0.4">
      <c r="B3" s="80" t="s">
        <v>35</v>
      </c>
      <c r="C3" s="81">
        <v>0.06</v>
      </c>
      <c r="D3" s="73" t="s">
        <v>34</v>
      </c>
      <c r="E3" s="73">
        <v>5</v>
      </c>
      <c r="F3" s="73"/>
      <c r="G3" s="73"/>
      <c r="H3" s="73"/>
      <c r="I3" s="73"/>
      <c r="J3" s="73"/>
      <c r="K3" s="73"/>
      <c r="L3" s="73" cm="1">
        <f t="array" ref="L3">_xlfn.LET(
    _xlpm.lookup_range_name, B$2:B$19,
    _xlpm.lookup_range_price, C$2:C$19,
    _xlfn.XLOOKUP(D3, _xlpm.lookup_range_name, _xlpm.lookup_range_price, 0) * E3 +
    _xlfn.XLOOKUP(F3, _xlpm.lookup_range_name, _xlpm.lookup_range_price, 0) * G3 +
    _xlfn.XLOOKUP(H3, _xlpm.lookup_range_name, _xlpm.lookup_range_price, 0) * I3 +
    _xlfn.XLOOKUP(J3, _xlpm.lookup_range_name, _xlpm.lookup_range_price, 0) * K3
)</f>
        <v>0.05</v>
      </c>
      <c r="M3" s="75">
        <f>IFERROR((表2[[#This Row],[基础价格]]-表2[[#This Row],[原料成本]])/表2[[#This Row],[原料成本]], 0)</f>
        <v>0.1999999999999999</v>
      </c>
      <c r="N3" s="76">
        <f>1 / LN(表2[[#This Row],[基础价格]]/生产速率公式_缩放因子 + 1)</f>
        <v>167.16616816099071</v>
      </c>
    </row>
    <row r="4" spans="1:14" x14ac:dyDescent="0.4">
      <c r="B4" s="82" t="s">
        <v>38</v>
      </c>
      <c r="C4" s="81">
        <v>2.4</v>
      </c>
      <c r="D4" s="73" t="s">
        <v>35</v>
      </c>
      <c r="E4" s="73">
        <v>30</v>
      </c>
      <c r="F4" s="73" t="s">
        <v>34</v>
      </c>
      <c r="G4" s="73">
        <v>10</v>
      </c>
      <c r="H4" s="73"/>
      <c r="I4" s="73"/>
      <c r="J4" s="73"/>
      <c r="K4" s="73"/>
      <c r="L4" s="73" cm="1">
        <f t="array" ref="L4">_xlfn.LET(
    _xlpm.lookup_range_name, B$2:B$19,
    _xlpm.lookup_range_price, C$2:C$19,
    _xlfn.XLOOKUP(D4, _xlpm.lookup_range_name, _xlpm.lookup_range_price, 0) * E4 +
    _xlfn.XLOOKUP(F4, _xlpm.lookup_range_name, _xlpm.lookup_range_price, 0) * G4 +
    _xlfn.XLOOKUP(H4, _xlpm.lookup_range_name, _xlpm.lookup_range_price, 0) * I4 +
    _xlfn.XLOOKUP(J4, _xlpm.lookup_range_name, _xlpm.lookup_range_price, 0) * K4
)</f>
        <v>1.9</v>
      </c>
      <c r="M4" s="75">
        <f>IFERROR((表2[[#This Row],[基础价格]]-表2[[#This Row],[原料成本]])/表2[[#This Row],[原料成本]], 0)</f>
        <v>0.26315789473684209</v>
      </c>
      <c r="N4" s="76">
        <f>1 / LN(表2[[#This Row],[基础价格]]/生产速率公式_缩放因子 + 1)</f>
        <v>4.6487545279135229</v>
      </c>
    </row>
    <row r="5" spans="1:14" x14ac:dyDescent="0.4">
      <c r="B5" s="77" t="s">
        <v>68</v>
      </c>
      <c r="C5" s="74">
        <v>3.4</v>
      </c>
      <c r="D5" s="73" t="s">
        <v>67</v>
      </c>
      <c r="E5" s="73">
        <v>200</v>
      </c>
      <c r="F5" s="73" t="s">
        <v>61</v>
      </c>
      <c r="G5" s="73">
        <v>10</v>
      </c>
      <c r="H5" s="73"/>
      <c r="I5" s="73"/>
      <c r="J5" s="73"/>
      <c r="K5" s="73"/>
      <c r="L5" s="73" cm="1">
        <f t="array" ref="L5">_xlfn.LET(
    _xlpm.lookup_range_name, B$2:B$19,
    _xlpm.lookup_range_price, C$2:C$19,
    _xlfn.XLOOKUP(D5, _xlpm.lookup_range_name, _xlpm.lookup_range_price, 0) * E5 +
    _xlfn.XLOOKUP(F5, _xlpm.lookup_range_name, _xlpm.lookup_range_price, 0) * G5 +
    _xlfn.XLOOKUP(H5, _xlpm.lookup_range_name, _xlpm.lookup_range_price, 0) * I5 +
    _xlfn.XLOOKUP(J5, _xlpm.lookup_range_name, _xlpm.lookup_range_price, 0) * K5
)</f>
        <v>2.6</v>
      </c>
      <c r="M5" s="75">
        <f>IFERROR((表2[[#This Row],[基础价格]]-表2[[#This Row],[原料成本]])/表2[[#This Row],[原料成本]], 0)</f>
        <v>0.3076923076923076</v>
      </c>
      <c r="N5" s="76">
        <f>1 / LN(表2[[#This Row],[基础价格]]/生产速率公式_缩放因子 + 1)</f>
        <v>3.4168220829615672</v>
      </c>
    </row>
    <row r="6" spans="1:14" x14ac:dyDescent="0.4">
      <c r="B6" s="83" t="s">
        <v>37</v>
      </c>
      <c r="C6" s="79">
        <v>4.8</v>
      </c>
      <c r="D6" s="73" t="s">
        <v>35</v>
      </c>
      <c r="E6" s="73">
        <v>20</v>
      </c>
      <c r="F6" s="73" t="s">
        <v>38</v>
      </c>
      <c r="G6" s="73">
        <v>1</v>
      </c>
      <c r="H6" s="73"/>
      <c r="I6" s="73"/>
      <c r="J6" s="73"/>
      <c r="K6" s="73"/>
      <c r="L6" s="73" cm="1">
        <f t="array" ref="L6">_xlfn.LET(
    _xlpm.lookup_range_name, B$2:B$19,
    _xlpm.lookup_range_price, C$2:C$19,
    _xlfn.XLOOKUP(D6, _xlpm.lookup_range_name, _xlpm.lookup_range_price, 0) * E6 +
    _xlfn.XLOOKUP(F6, _xlpm.lookup_range_name, _xlpm.lookup_range_price, 0) * G6 +
    _xlfn.XLOOKUP(H6, _xlpm.lookup_range_name, _xlpm.lookup_range_price, 0) * I6 +
    _xlfn.XLOOKUP(J6, _xlpm.lookup_range_name, _xlpm.lookup_range_price, 0) * K6
)</f>
        <v>3.5999999999999996</v>
      </c>
      <c r="M6" s="75">
        <f>IFERROR((表2[[#This Row],[基础价格]]-表2[[#This Row],[原料成本]])/表2[[#This Row],[原料成本]], 0)</f>
        <v>0.33333333333333343</v>
      </c>
      <c r="N6" s="76">
        <f>1 / LN(表2[[#This Row],[基础价格]]/生产速率公式_缩放因子 + 1)</f>
        <v>2.5507465427316744</v>
      </c>
    </row>
    <row r="7" spans="1:14" x14ac:dyDescent="0.4">
      <c r="B7" s="73" t="s">
        <v>69</v>
      </c>
      <c r="C7" s="74">
        <v>5.2</v>
      </c>
      <c r="D7" s="73" t="s">
        <v>67</v>
      </c>
      <c r="E7" s="73">
        <v>300</v>
      </c>
      <c r="F7" s="73" t="s">
        <v>61</v>
      </c>
      <c r="G7" s="73">
        <v>15</v>
      </c>
      <c r="H7" s="73"/>
      <c r="I7" s="73"/>
      <c r="J7" s="73"/>
      <c r="K7" s="73"/>
      <c r="L7" s="73" cm="1">
        <f t="array" ref="L7">_xlfn.LET(
    _xlpm.lookup_range_name, B$2:B$19,
    _xlpm.lookup_range_price, C$2:C$19,
    _xlfn.XLOOKUP(D7, _xlpm.lookup_range_name, _xlpm.lookup_range_price, 0) * E7 +
    _xlfn.XLOOKUP(F7, _xlpm.lookup_range_name, _xlpm.lookup_range_price, 0) * G7 +
    _xlfn.XLOOKUP(H7, _xlpm.lookup_range_name, _xlpm.lookup_range_price, 0) * I7 +
    _xlfn.XLOOKUP(J7, _xlpm.lookup_range_name, _xlpm.lookup_range_price, 0) * K7
)</f>
        <v>3.9</v>
      </c>
      <c r="M7" s="75">
        <f>IFERROR((表2[[#This Row],[基础价格]]-表2[[#This Row],[原料成本]])/表2[[#This Row],[原料成本]], 0)</f>
        <v>0.33333333333333343</v>
      </c>
      <c r="N7" s="76">
        <f>1 / LN(表2[[#This Row],[基础价格]]/生产速率公式_缩放因子 + 1)</f>
        <v>2.3882859264476828</v>
      </c>
    </row>
    <row r="8" spans="1:14" x14ac:dyDescent="0.4">
      <c r="B8" s="84" t="s">
        <v>41</v>
      </c>
      <c r="C8" s="81">
        <v>5.6</v>
      </c>
      <c r="D8" s="73" t="s">
        <v>35</v>
      </c>
      <c r="E8" s="73">
        <v>30</v>
      </c>
      <c r="F8" s="73" t="s">
        <v>38</v>
      </c>
      <c r="G8" s="73">
        <v>1</v>
      </c>
      <c r="H8" s="73"/>
      <c r="I8" s="73"/>
      <c r="J8" s="73"/>
      <c r="K8" s="73"/>
      <c r="L8" s="73" cm="1">
        <f t="array" ref="L8">_xlfn.LET(
    _xlpm.lookup_range_name, B$2:B$19,
    _xlpm.lookup_range_price, C$2:C$19,
    _xlfn.XLOOKUP(D8, _xlpm.lookup_range_name, _xlpm.lookup_range_price, 0) * E8 +
    _xlfn.XLOOKUP(F8, _xlpm.lookup_range_name, _xlpm.lookup_range_price, 0) * G8 +
    _xlfn.XLOOKUP(H8, _xlpm.lookup_range_name, _xlpm.lookup_range_price, 0) * I8 +
    _xlfn.XLOOKUP(J8, _xlpm.lookup_range_name, _xlpm.lookup_range_price, 0) * K8
)</f>
        <v>4.1999999999999993</v>
      </c>
      <c r="M8" s="75">
        <f>IFERROR((表2[[#This Row],[基础价格]]-表2[[#This Row],[原料成本]])/表2[[#This Row],[原料成本]], 0)</f>
        <v>0.33333333333333348</v>
      </c>
      <c r="N8" s="76">
        <f>1 / LN(表2[[#This Row],[基础价格]]/生产速率公式_缩放因子 + 1)</f>
        <v>2.2487786931530396</v>
      </c>
    </row>
    <row r="9" spans="1:14" x14ac:dyDescent="0.4">
      <c r="B9" s="73" t="s">
        <v>42</v>
      </c>
      <c r="C9" s="74">
        <v>7.3</v>
      </c>
      <c r="D9" s="73" t="s">
        <v>35</v>
      </c>
      <c r="E9" s="73">
        <v>10</v>
      </c>
      <c r="F9" s="73" t="s">
        <v>57</v>
      </c>
      <c r="G9" s="73">
        <v>1</v>
      </c>
      <c r="H9" s="73"/>
      <c r="I9" s="73"/>
      <c r="J9" s="73"/>
      <c r="K9" s="73"/>
      <c r="L9" s="73" cm="1">
        <f t="array" ref="L9">_xlfn.LET(
    _xlpm.lookup_range_name, B$2:B$19,
    _xlpm.lookup_range_price, C$2:C$19,
    _xlfn.XLOOKUP(D9, _xlpm.lookup_range_name, _xlpm.lookup_range_price, 0) * E9 +
    _xlfn.XLOOKUP(F9, _xlpm.lookup_range_name, _xlpm.lookup_range_price, 0) * G9 +
    _xlfn.XLOOKUP(H9, _xlpm.lookup_range_name, _xlpm.lookup_range_price, 0) * I9 +
    _xlfn.XLOOKUP(J9, _xlpm.lookup_range_name, _xlpm.lookup_range_price, 0) * K9
)</f>
        <v>5.3999999999999995</v>
      </c>
      <c r="M9" s="75">
        <f>IFERROR((表2[[#This Row],[基础价格]]-表2[[#This Row],[原料成本]])/表2[[#This Row],[原料成本]], 0)</f>
        <v>0.35185185185185197</v>
      </c>
      <c r="N9" s="76">
        <f>1 / LN(表2[[#This Row],[基础价格]]/生产速率公式_缩放因子 + 1)</f>
        <v>1.8244133224406356</v>
      </c>
    </row>
    <row r="10" spans="1:14" x14ac:dyDescent="0.4">
      <c r="B10" s="84" t="s">
        <v>40</v>
      </c>
      <c r="C10" s="81">
        <v>11</v>
      </c>
      <c r="D10" s="73" t="s">
        <v>35</v>
      </c>
      <c r="E10" s="73">
        <v>10</v>
      </c>
      <c r="F10" s="73" t="s">
        <v>42</v>
      </c>
      <c r="G10" s="73">
        <v>1</v>
      </c>
      <c r="H10" s="73"/>
      <c r="I10" s="73"/>
      <c r="J10" s="73"/>
      <c r="K10" s="73"/>
      <c r="L10" s="73" cm="1">
        <f t="array" ref="L10">_xlfn.LET(
    _xlpm.lookup_range_name, B$2:B$19,
    _xlpm.lookup_range_price, C$2:C$19,
    _xlfn.XLOOKUP(D10, _xlpm.lookup_range_name, _xlpm.lookup_range_price, 0) * E10 +
    _xlfn.XLOOKUP(F10, _xlpm.lookup_range_name, _xlpm.lookup_range_price, 0) * G10 +
    _xlfn.XLOOKUP(H10, _xlpm.lookup_range_name, _xlpm.lookup_range_price, 0) * I10 +
    _xlfn.XLOOKUP(J10, _xlpm.lookup_range_name, _xlpm.lookup_range_price, 0) * K10
)</f>
        <v>7.8999999999999995</v>
      </c>
      <c r="M10" s="75">
        <f>IFERROR((表2[[#This Row],[基础价格]]-表2[[#This Row],[原料成本]])/表2[[#This Row],[原料成本]], 0)</f>
        <v>0.39240506329113933</v>
      </c>
      <c r="N10" s="76">
        <f>1 / LN(表2[[#This Row],[基础价格]]/生产速率公式_缩放因子 + 1)</f>
        <v>1.3478227064641846</v>
      </c>
    </row>
    <row r="11" spans="1:14" x14ac:dyDescent="0.4">
      <c r="B11" s="73" t="s">
        <v>65</v>
      </c>
      <c r="C11" s="74">
        <v>14</v>
      </c>
      <c r="D11" s="73" t="s">
        <v>67</v>
      </c>
      <c r="E11" s="73">
        <v>1000</v>
      </c>
      <c r="F11" s="73"/>
      <c r="G11" s="73"/>
      <c r="H11" s="73"/>
      <c r="I11" s="73"/>
      <c r="J11" s="73"/>
      <c r="K11" s="73"/>
      <c r="L11" s="73" cm="1">
        <f t="array" ref="L11">_xlfn.LET(
    _xlpm.lookup_range_name, B$2:B$19,
    _xlpm.lookup_range_price, C$2:C$19,
    _xlfn.XLOOKUP(D11, _xlpm.lookup_range_name, _xlpm.lookup_range_price, 0) * E11 +
    _xlfn.XLOOKUP(F11, _xlpm.lookup_range_name, _xlpm.lookup_range_price, 0) * G11 +
    _xlfn.XLOOKUP(H11, _xlpm.lookup_range_name, _xlpm.lookup_range_price, 0) * I11 +
    _xlfn.XLOOKUP(J11, _xlpm.lookup_range_name, _xlpm.lookup_range_price, 0) * K11
)</f>
        <v>10</v>
      </c>
      <c r="M11" s="75">
        <f>IFERROR((表2[[#This Row],[基础价格]]-表2[[#This Row],[原料成本]])/表2[[#This Row],[原料成本]], 0)</f>
        <v>0.4</v>
      </c>
      <c r="N11" s="76">
        <f>1 / LN(表2[[#This Row],[基础价格]]/生产速率公式_缩放因子 + 1)</f>
        <v>1.1422452422715805</v>
      </c>
    </row>
    <row r="12" spans="1:14" x14ac:dyDescent="0.4">
      <c r="B12" s="84" t="s">
        <v>39</v>
      </c>
      <c r="C12" s="81">
        <v>21.6</v>
      </c>
      <c r="D12" s="73" t="s">
        <v>35</v>
      </c>
      <c r="E12" s="73">
        <v>10</v>
      </c>
      <c r="F12" s="73" t="s">
        <v>42</v>
      </c>
      <c r="G12" s="73">
        <v>2</v>
      </c>
      <c r="H12" s="73"/>
      <c r="I12" s="73"/>
      <c r="J12" s="73"/>
      <c r="K12" s="73"/>
      <c r="L12" s="73" cm="1">
        <f t="array" ref="L12">_xlfn.LET(
    _xlpm.lookup_range_name, B$2:B$19,
    _xlpm.lookup_range_price, C$2:C$19,
    _xlfn.XLOOKUP(D12, _xlpm.lookup_range_name, _xlpm.lookup_range_price, 0) * E12 +
    _xlfn.XLOOKUP(F12, _xlpm.lookup_range_name, _xlpm.lookup_range_price, 0) * G12 +
    _xlfn.XLOOKUP(H12, _xlpm.lookup_range_name, _xlpm.lookup_range_price, 0) * I12 +
    _xlfn.XLOOKUP(J12, _xlpm.lookup_range_name, _xlpm.lookup_range_price, 0) * K12
)</f>
        <v>15.2</v>
      </c>
      <c r="M12" s="75">
        <f>IFERROR((表2[[#This Row],[基础价格]]-表2[[#This Row],[原料成本]])/表2[[#This Row],[原料成本]], 0)</f>
        <v>0.42105263157894751</v>
      </c>
      <c r="N12" s="76">
        <f>1 / LN(表2[[#This Row],[基础价格]]/生产速率公式_缩放因子 + 1)</f>
        <v>0.86913289738752286</v>
      </c>
    </row>
    <row r="13" spans="1:14" x14ac:dyDescent="0.4">
      <c r="B13" s="85" t="s">
        <v>58</v>
      </c>
      <c r="C13" s="79">
        <v>40</v>
      </c>
      <c r="D13" s="73" t="s">
        <v>34</v>
      </c>
      <c r="E13" s="73">
        <v>1000</v>
      </c>
      <c r="F13" s="73" t="s">
        <v>61</v>
      </c>
      <c r="G13" s="73">
        <v>300</v>
      </c>
      <c r="H13" s="73"/>
      <c r="I13" s="73"/>
      <c r="J13" s="73"/>
      <c r="K13" s="73"/>
      <c r="L13" s="73" cm="1">
        <f t="array" ref="L13">_xlfn.LET(
    _xlpm.lookup_range_name, B$2:B$19,
    _xlpm.lookup_range_price, C$2:C$19,
    _xlfn.XLOOKUP(D13, _xlpm.lookup_range_name, _xlpm.lookup_range_price, 0) * E13 +
    _xlfn.XLOOKUP(F13, _xlpm.lookup_range_name, _xlpm.lookup_range_price, 0) * G13 +
    _xlfn.XLOOKUP(H13, _xlpm.lookup_range_name, _xlpm.lookup_range_price, 0) * I13 +
    _xlfn.XLOOKUP(J13, _xlpm.lookup_range_name, _xlpm.lookup_range_price, 0) * K13
)</f>
        <v>28</v>
      </c>
      <c r="M13" s="75">
        <f>IFERROR((表2[[#This Row],[基础价格]]-表2[[#This Row],[原料成本]])/表2[[#This Row],[原料成本]], 0)</f>
        <v>0.42857142857142855</v>
      </c>
      <c r="N13" s="76">
        <f>1 / LN(表2[[#This Row],[基础价格]]/生产速率公式_缩放因子 + 1)</f>
        <v>0.62133493455961186</v>
      </c>
    </row>
    <row r="14" spans="1:14" x14ac:dyDescent="0.4">
      <c r="B14" s="73" t="s">
        <v>71</v>
      </c>
      <c r="C14" s="74">
        <v>41</v>
      </c>
      <c r="D14" s="73" t="s">
        <v>69</v>
      </c>
      <c r="E14" s="73">
        <v>5</v>
      </c>
      <c r="F14" s="73" t="s">
        <v>70</v>
      </c>
      <c r="G14" s="73">
        <v>1</v>
      </c>
      <c r="H14" s="73"/>
      <c r="I14" s="73"/>
      <c r="J14" s="73"/>
      <c r="K14" s="73"/>
      <c r="L14" s="73" cm="1">
        <f t="array" ref="L14">_xlfn.LET(
    _xlpm.lookup_range_name, B$2:B$19,
    _xlpm.lookup_range_price, C$2:C$19,
    _xlfn.XLOOKUP(D14, _xlpm.lookup_range_name, _xlpm.lookup_range_price, 0) * E14 +
    _xlfn.XLOOKUP(F14, _xlpm.lookup_range_name, _xlpm.lookup_range_price, 0) * G14 +
    _xlfn.XLOOKUP(H14, _xlpm.lookup_range_name, _xlpm.lookup_range_price, 0) * I14 +
    _xlfn.XLOOKUP(J14, _xlpm.lookup_range_name, _xlpm.lookup_range_price, 0) * K14
)</f>
        <v>28.4</v>
      </c>
      <c r="M14" s="75">
        <f>IFERROR((表2[[#This Row],[基础价格]]-表2[[#This Row],[原料成本]])/表2[[#This Row],[原料成本]], 0)</f>
        <v>0.44366197183098599</v>
      </c>
      <c r="N14" s="76">
        <f>1 / LN(表2[[#This Row],[基础价格]]/生产速率公式_缩放因子 + 1)</f>
        <v>0.6137829102666138</v>
      </c>
    </row>
    <row r="15" spans="1:14" x14ac:dyDescent="0.4">
      <c r="B15" s="73" t="s">
        <v>66</v>
      </c>
      <c r="C15" s="74">
        <v>118</v>
      </c>
      <c r="D15" s="73" t="s">
        <v>68</v>
      </c>
      <c r="E15" s="73">
        <v>10</v>
      </c>
      <c r="F15" s="73" t="s">
        <v>61</v>
      </c>
      <c r="G15" s="73">
        <v>100</v>
      </c>
      <c r="H15" s="73" t="s">
        <v>71</v>
      </c>
      <c r="I15" s="73">
        <v>1</v>
      </c>
      <c r="J15" s="73"/>
      <c r="K15" s="73"/>
      <c r="L15" s="73" cm="1">
        <f t="array" ref="L15">_xlfn.LET(
    _xlpm.lookup_range_name, B$2:B$19,
    _xlpm.lookup_range_price, C$2:C$19,
    _xlfn.XLOOKUP(D15, _xlpm.lookup_range_name, _xlpm.lookup_range_price, 0) * E15 +
    _xlfn.XLOOKUP(F15, _xlpm.lookup_range_name, _xlpm.lookup_range_price, 0) * G15 +
    _xlfn.XLOOKUP(H15, _xlpm.lookup_range_name, _xlpm.lookup_range_price, 0) * I15 +
    _xlfn.XLOOKUP(J15, _xlpm.lookup_range_name, _xlpm.lookup_range_price, 0) * K15
)</f>
        <v>81</v>
      </c>
      <c r="M15" s="75">
        <f>IFERROR((表2[[#This Row],[基础价格]]-表2[[#This Row],[原料成本]])/表2[[#This Row],[原料成本]], 0)</f>
        <v>0.4567901234567901</v>
      </c>
      <c r="N15" s="76">
        <f>1 / LN(表2[[#This Row],[基础价格]]/生产速率公式_缩放因子 + 1)</f>
        <v>0.39224220681590566</v>
      </c>
    </row>
    <row r="16" spans="1:14" x14ac:dyDescent="0.4">
      <c r="B16" s="85" t="s">
        <v>59</v>
      </c>
      <c r="C16" s="79">
        <v>330</v>
      </c>
      <c r="D16" s="73" t="s">
        <v>34</v>
      </c>
      <c r="E16" s="73">
        <v>2000</v>
      </c>
      <c r="F16" s="73" t="s">
        <v>58</v>
      </c>
      <c r="G16" s="73">
        <v>5</v>
      </c>
      <c r="H16" s="73"/>
      <c r="I16" s="73"/>
      <c r="J16" s="73"/>
      <c r="K16" s="73"/>
      <c r="L16" s="73" cm="1">
        <f t="array" ref="L16">_xlfn.LET(
    _xlpm.lookup_range_name, B$2:B$19,
    _xlpm.lookup_range_price, C$2:C$19,
    _xlfn.XLOOKUP(D16, _xlpm.lookup_range_name, _xlpm.lookup_range_price, 0) * E16 +
    _xlfn.XLOOKUP(F16, _xlpm.lookup_range_name, _xlpm.lookup_range_price, 0) * G16 +
    _xlfn.XLOOKUP(H16, _xlpm.lookup_range_name, _xlpm.lookup_range_price, 0) * I16 +
    _xlfn.XLOOKUP(J16, _xlpm.lookup_range_name, _xlpm.lookup_range_price, 0) * K16
)</f>
        <v>220</v>
      </c>
      <c r="M16" s="75">
        <f>IFERROR((表2[[#This Row],[基础价格]]-表2[[#This Row],[原料成本]])/表2[[#This Row],[原料成本]], 0)</f>
        <v>0.5</v>
      </c>
      <c r="N16" s="76">
        <f>1 / LN(表2[[#This Row],[基础价格]]/生产速率公式_缩放因子 + 1)</f>
        <v>0.2835784920513334</v>
      </c>
    </row>
    <row r="17" spans="1:14" x14ac:dyDescent="0.4">
      <c r="B17" s="85" t="s">
        <v>36</v>
      </c>
      <c r="C17" s="79">
        <v>3800</v>
      </c>
      <c r="D17" s="73" t="s">
        <v>38</v>
      </c>
      <c r="E17" s="73">
        <v>1000</v>
      </c>
      <c r="F17" s="73"/>
      <c r="G17" s="73"/>
      <c r="H17" s="73"/>
      <c r="I17" s="73"/>
      <c r="J17" s="73"/>
      <c r="K17" s="73"/>
      <c r="L17" s="73" cm="1">
        <f t="array" ref="L17">_xlfn.LET(
    _xlpm.lookup_range_name, B$2:B$19,
    _xlpm.lookup_range_price, C$2:C$19,
    _xlfn.XLOOKUP(D17, _xlpm.lookup_range_name, _xlpm.lookup_range_price, 0) * E17 +
    _xlfn.XLOOKUP(F17, _xlpm.lookup_range_name, _xlpm.lookup_range_price, 0) * G17 +
    _xlfn.XLOOKUP(H17, _xlpm.lookup_range_name, _xlpm.lookup_range_price, 0) * I17 +
    _xlfn.XLOOKUP(J17, _xlpm.lookup_range_name, _xlpm.lookup_range_price, 0) * K17
)</f>
        <v>2400</v>
      </c>
      <c r="M17" s="75">
        <f>IFERROR((表2[[#This Row],[基础价格]]-表2[[#This Row],[原料成本]])/表2[[#This Row],[原料成本]], 0)</f>
        <v>0.58333333333333337</v>
      </c>
      <c r="N17" s="76">
        <f>1 / LN(表2[[#This Row],[基础价格]]/生产速率公式_缩放因子 + 1)</f>
        <v>0.16827086645149952</v>
      </c>
    </row>
    <row r="18" spans="1:14" x14ac:dyDescent="0.4">
      <c r="B18" s="85" t="s">
        <v>60</v>
      </c>
      <c r="C18" s="79">
        <v>12000</v>
      </c>
      <c r="D18" s="73" t="s">
        <v>64</v>
      </c>
      <c r="E18" s="73">
        <v>10</v>
      </c>
      <c r="F18" s="73" t="s">
        <v>36</v>
      </c>
      <c r="G18" s="73">
        <v>1</v>
      </c>
      <c r="H18" s="73"/>
      <c r="I18" s="73"/>
      <c r="J18" s="73"/>
      <c r="K18" s="73"/>
      <c r="L18" s="73" cm="1">
        <f t="array" ref="L18">_xlfn.LET(
    _xlpm.lookup_range_name, B$2:B$19,
    _xlpm.lookup_range_price, C$2:C$19,
    _xlfn.XLOOKUP(D18, _xlpm.lookup_range_name, _xlpm.lookup_range_price, 0) * E18 +
    _xlfn.XLOOKUP(F18, _xlpm.lookup_range_name, _xlpm.lookup_range_price, 0) * G18 +
    _xlfn.XLOOKUP(H18, _xlpm.lookup_range_name, _xlpm.lookup_range_price, 0) * I18 +
    _xlfn.XLOOKUP(J18, _xlpm.lookup_range_name, _xlpm.lookup_range_price, 0) * K18
)</f>
        <v>7100</v>
      </c>
      <c r="M18" s="75">
        <f>IFERROR((表2[[#This Row],[基础价格]]-表2[[#This Row],[原料成本]])/表2[[#This Row],[原料成本]], 0)</f>
        <v>0.6901408450704225</v>
      </c>
      <c r="N18" s="76">
        <f>1 / LN(表2[[#This Row],[基础价格]]/生产速率公式_缩放因子 + 1)</f>
        <v>0.14102562648394659</v>
      </c>
    </row>
    <row r="19" spans="1:14" x14ac:dyDescent="0.4">
      <c r="B19" s="73" t="s">
        <v>72</v>
      </c>
      <c r="C19" s="74"/>
      <c r="D19" s="73"/>
      <c r="E19" s="73"/>
      <c r="F19" s="73"/>
      <c r="G19" s="73"/>
      <c r="H19" s="73"/>
      <c r="I19" s="73"/>
      <c r="J19" s="73"/>
      <c r="K19" s="73"/>
      <c r="L19" s="73" cm="1">
        <f t="array" ref="L19">_xlfn.LET(
    _xlpm.lookup_range_name, B$2:B$19,
    _xlpm.lookup_range_price, C$2:C$19,
    _xlfn.XLOOKUP(D19, _xlpm.lookup_range_name, _xlpm.lookup_range_price, 0) * E19 +
    _xlfn.XLOOKUP(F19, _xlpm.lookup_range_name, _xlpm.lookup_range_price, 0) * G19 +
    _xlfn.XLOOKUP(H19, _xlpm.lookup_range_name, _xlpm.lookup_range_price, 0) * I19 +
    _xlfn.XLOOKUP(J19, _xlpm.lookup_range_name, _xlpm.lookup_range_price, 0) * K19
)</f>
        <v>0</v>
      </c>
      <c r="M19" s="75">
        <f>IFERROR((表2[[#This Row],[基础价格]]-表2[[#This Row],[原料成本]])/表2[[#This Row],[原料成本]], 0)</f>
        <v>0</v>
      </c>
      <c r="N19" s="76" t="e">
        <f>1 / LN(表2[[#This Row],[基础价格]]/生产速率公式_缩放因子 + 1)</f>
        <v>#DIV/0!</v>
      </c>
    </row>
    <row r="21" spans="1:14" x14ac:dyDescent="0.4">
      <c r="A21" s="89" t="s">
        <v>75</v>
      </c>
      <c r="B21" t="s">
        <v>73</v>
      </c>
    </row>
    <row r="22" spans="1:14" x14ac:dyDescent="0.4">
      <c r="A22" s="89"/>
      <c r="B22" t="s">
        <v>76</v>
      </c>
    </row>
    <row r="23" spans="1:14" x14ac:dyDescent="0.4">
      <c r="A23" s="89"/>
      <c r="B23" t="s">
        <v>77</v>
      </c>
    </row>
    <row r="24" spans="1:14" x14ac:dyDescent="0.4">
      <c r="A24" s="89"/>
      <c r="B24" t="s">
        <v>78</v>
      </c>
    </row>
    <row r="25" spans="1:14" x14ac:dyDescent="0.4">
      <c r="A25" s="89"/>
      <c r="B25" t="s">
        <v>79</v>
      </c>
    </row>
    <row r="26" spans="1:14" x14ac:dyDescent="0.4">
      <c r="A26" s="89" t="s">
        <v>85</v>
      </c>
      <c r="B26" t="s">
        <v>80</v>
      </c>
    </row>
    <row r="27" spans="1:14" x14ac:dyDescent="0.4">
      <c r="A27" s="89"/>
      <c r="B27" t="s">
        <v>81</v>
      </c>
    </row>
    <row r="28" spans="1:14" x14ac:dyDescent="0.4">
      <c r="A28" s="89"/>
      <c r="B28" t="s">
        <v>82</v>
      </c>
    </row>
    <row r="29" spans="1:14" x14ac:dyDescent="0.4">
      <c r="A29" s="89"/>
      <c r="B29" t="s">
        <v>83</v>
      </c>
    </row>
    <row r="30" spans="1:14" x14ac:dyDescent="0.4">
      <c r="A30" s="89"/>
      <c r="B30" t="s">
        <v>84</v>
      </c>
    </row>
    <row r="31" spans="1:14" x14ac:dyDescent="0.4">
      <c r="B31" t="s">
        <v>86</v>
      </c>
    </row>
    <row r="32" spans="1:14" x14ac:dyDescent="0.4">
      <c r="B32" t="s">
        <v>87</v>
      </c>
    </row>
    <row r="33" spans="1:2" x14ac:dyDescent="0.4">
      <c r="B33" t="s">
        <v>88</v>
      </c>
    </row>
    <row r="34" spans="1:2" x14ac:dyDescent="0.4">
      <c r="B34" t="s">
        <v>89</v>
      </c>
    </row>
    <row r="35" spans="1:2" x14ac:dyDescent="0.4">
      <c r="B35" t="s">
        <v>90</v>
      </c>
    </row>
    <row r="36" spans="1:2" x14ac:dyDescent="0.4">
      <c r="A36" s="90" t="s">
        <v>96</v>
      </c>
      <c r="B36" t="s">
        <v>91</v>
      </c>
    </row>
    <row r="37" spans="1:2" x14ac:dyDescent="0.4">
      <c r="A37" s="90"/>
      <c r="B37" t="s">
        <v>92</v>
      </c>
    </row>
    <row r="38" spans="1:2" x14ac:dyDescent="0.4">
      <c r="A38" s="90"/>
      <c r="B38" t="s">
        <v>93</v>
      </c>
    </row>
    <row r="39" spans="1:2" x14ac:dyDescent="0.4">
      <c r="A39" s="90"/>
      <c r="B39" t="s">
        <v>94</v>
      </c>
    </row>
    <row r="40" spans="1:2" x14ac:dyDescent="0.4">
      <c r="A40" s="90"/>
      <c r="B40" t="s">
        <v>95</v>
      </c>
    </row>
    <row r="41" spans="1:2" x14ac:dyDescent="0.4">
      <c r="A41" s="89" t="s">
        <v>101</v>
      </c>
      <c r="B41" t="s">
        <v>97</v>
      </c>
    </row>
    <row r="42" spans="1:2" x14ac:dyDescent="0.4">
      <c r="A42" s="89"/>
      <c r="B42" t="s">
        <v>98</v>
      </c>
    </row>
    <row r="43" spans="1:2" x14ac:dyDescent="0.4">
      <c r="A43" s="89"/>
      <c r="B43" t="s">
        <v>99</v>
      </c>
    </row>
    <row r="44" spans="1:2" x14ac:dyDescent="0.4">
      <c r="A44" s="89"/>
      <c r="B44" t="s">
        <v>100</v>
      </c>
    </row>
    <row r="45" spans="1:2" x14ac:dyDescent="0.4">
      <c r="A45" s="89" t="s">
        <v>106</v>
      </c>
      <c r="B45" t="s">
        <v>103</v>
      </c>
    </row>
    <row r="46" spans="1:2" x14ac:dyDescent="0.4">
      <c r="A46" s="89"/>
      <c r="B46" t="s">
        <v>102</v>
      </c>
    </row>
    <row r="47" spans="1:2" x14ac:dyDescent="0.4">
      <c r="A47" s="89"/>
      <c r="B47" t="s">
        <v>104</v>
      </c>
    </row>
    <row r="48" spans="1:2" x14ac:dyDescent="0.4">
      <c r="A48" s="89"/>
      <c r="B48" t="s">
        <v>105</v>
      </c>
    </row>
  </sheetData>
  <mergeCells count="5">
    <mergeCell ref="A21:A25"/>
    <mergeCell ref="A26:A30"/>
    <mergeCell ref="A36:A40"/>
    <mergeCell ref="A41:A44"/>
    <mergeCell ref="A45:A48"/>
  </mergeCells>
  <phoneticPr fontId="7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</vt:i4>
      </vt:variant>
    </vt:vector>
  </HeadingPairs>
  <TitlesOfParts>
    <vt:vector size="12" baseType="lpstr">
      <vt:lpstr>全局</vt:lpstr>
      <vt:lpstr>resource_base</vt:lpstr>
      <vt:lpstr>industry_base</vt:lpstr>
      <vt:lpstr>recipe_requirement_base</vt:lpstr>
      <vt:lpstr>recipe_base</vt:lpstr>
      <vt:lpstr>building_base</vt:lpstr>
      <vt:lpstr>bd_level_base</vt:lpstr>
      <vt:lpstr>game_config_base</vt:lpstr>
      <vt:lpstr>资源</vt:lpstr>
      <vt:lpstr>初始用户</vt:lpstr>
      <vt:lpstr>配方</vt:lpstr>
      <vt:lpstr>生产速率公式_缩放因子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 Summon</dc:creator>
  <cp:keywords/>
  <dc:description/>
  <cp:lastModifiedBy>z Summon</cp:lastModifiedBy>
  <cp:revision/>
  <cp:lastPrinted>2026-03-23T13:23:34Z</cp:lastPrinted>
  <dcterms:created xsi:type="dcterms:W3CDTF">2026-01-25T04:39:52Z</dcterms:created>
  <dcterms:modified xsi:type="dcterms:W3CDTF">2026-04-08T04:00:23Z</dcterms:modified>
  <cp:category/>
  <cp:contentStatus/>
</cp:coreProperties>
</file>